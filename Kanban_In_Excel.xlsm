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ropbox\SHANE\RANDY\PATREON\WORKBOOK-PATREON AD\"/>
    </mc:Choice>
  </mc:AlternateContent>
  <xr:revisionPtr revIDLastSave="0" documentId="13_ncr:1_{52E5470A-1910-4DED-A333-8946359B01F9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Admin" sheetId="2" r:id="rId1"/>
    <sheet name="Kanban Board" sheetId="1" r:id="rId2"/>
    <sheet name="Task Cards" sheetId="3" r:id="rId3"/>
    <sheet name="Projects" sheetId="5" r:id="rId4"/>
    <sheet name="Team Members" sheetId="4" r:id="rId5"/>
  </sheets>
  <definedNames>
    <definedName name="_xlnm._FilterDatabase" localSheetId="3" hidden="1">Projects!$A$2:$C$6</definedName>
    <definedName name="_xlnm._FilterDatabase" localSheetId="2" hidden="1">'Task Cards'!$A$3:$K$26</definedName>
    <definedName name="_xlnm._FilterDatabase" localSheetId="4" hidden="1">'Team Members'!$A$2:$E$7</definedName>
    <definedName name="Categories">OFFSET(Admin!$D$6,1,,COUNTA(Admin!$D$6:$D$11)-1,1)</definedName>
    <definedName name="_xlnm.Criteria" localSheetId="3">Projects!$G$2:$G$3</definedName>
    <definedName name="_xlnm.Criteria" localSheetId="2">'Task Cards'!$P$2:$U$3</definedName>
    <definedName name="_xlnm.Criteria" localSheetId="4">'Team Members'!$J$2:$J$3</definedName>
    <definedName name="_xlnm.Extract" localSheetId="3">Projects!$I$2:$J$2</definedName>
    <definedName name="_xlnm.Extract" localSheetId="2">'Task Cards'!$AA$2:$AK$2</definedName>
    <definedName name="_xlnm.Extract" localSheetId="4">'Team Members'!$L$2:$O$2</definedName>
    <definedName name="Member_ID">OFFSET('Team Members'!$A$2,1,,COUNTA('Team Members'!$A$2:$A$9999)-1,1)</definedName>
    <definedName name="Member_Name">OFFSET('Team Members'!$B$2,1,,COUNTA('Team Members'!$A$2:$A$9999)-1,1)</definedName>
    <definedName name="Priority">Admin!$F$7:$F$10</definedName>
    <definedName name="Proj._ID">OFFSET(Projects!$A$2,1,,COUNTA(Projects!$A$2:$A$9999)-1,1)</definedName>
    <definedName name="Proj_Name">OFFSET(Projects!$B$2,1,,COUNTA(Projects!$A$2:$A$9999)-1,1)</definedName>
    <definedName name="Stages">Admin!$B$6:$B$11</definedName>
    <definedName name="Task_ID">OFFSET('Task Cards'!$A$3,1,,COUNTA('Task Cards'!$A$3:$A$9998)-1,1)</definedName>
    <definedName name="Task_Name">OFFSET('Task Cards'!$B$3,1,,COUNTA('Task Cards'!$A$3:$A$9998)-1,1)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" i="3" l="1"/>
  <c r="S3" i="3"/>
  <c r="B11" i="1"/>
  <c r="B5" i="1"/>
  <c r="B3" i="1"/>
  <c r="B9" i="1"/>
  <c r="B8" i="1"/>
  <c r="E13" i="1"/>
  <c r="G13" i="1"/>
  <c r="I13" i="1"/>
  <c r="F13" i="1"/>
  <c r="H13" i="1"/>
  <c r="J13" i="1"/>
  <c r="Q3" i="3" l="1"/>
  <c r="G3" i="5"/>
</calcChain>
</file>

<file path=xl/sharedStrings.xml><?xml version="1.0" encoding="utf-8"?>
<sst xmlns="http://schemas.openxmlformats.org/spreadsheetml/2006/main" count="471" uniqueCount="123">
  <si>
    <t>Priority</t>
  </si>
  <si>
    <t>Urgent</t>
  </si>
  <si>
    <t>High</t>
  </si>
  <si>
    <t>Normal</t>
  </si>
  <si>
    <t>Low</t>
  </si>
  <si>
    <t>KANBAN BOARD IN EXCEL</t>
  </si>
  <si>
    <t>PROJECTS</t>
  </si>
  <si>
    <t>TO DO</t>
  </si>
  <si>
    <t>IN PROGRESS</t>
  </si>
  <si>
    <t>COMPLETED</t>
  </si>
  <si>
    <t>Task Name</t>
  </si>
  <si>
    <t>Project</t>
  </si>
  <si>
    <t>Category</t>
  </si>
  <si>
    <t>Stage</t>
  </si>
  <si>
    <t>Details</t>
  </si>
  <si>
    <t>Team Members</t>
  </si>
  <si>
    <t>Member ID</t>
  </si>
  <si>
    <t>Member Name</t>
  </si>
  <si>
    <t>Email</t>
  </si>
  <si>
    <t>Picture Name</t>
  </si>
  <si>
    <t>ADMIN &amp; SETTINGS</t>
  </si>
  <si>
    <t>Design</t>
  </si>
  <si>
    <t>Development</t>
  </si>
  <si>
    <t>Release</t>
  </si>
  <si>
    <t>Status</t>
  </si>
  <si>
    <t>Task ID</t>
  </si>
  <si>
    <t>Proj. ID</t>
  </si>
  <si>
    <t>Proj. Name</t>
  </si>
  <si>
    <t>Last Update</t>
  </si>
  <si>
    <t>Project List</t>
  </si>
  <si>
    <t>Open</t>
  </si>
  <si>
    <t>Closed</t>
  </si>
  <si>
    <t>CATEGORIES</t>
  </si>
  <si>
    <t>PRIORITY</t>
  </si>
  <si>
    <t>COLOR</t>
  </si>
  <si>
    <t>Team Picture Location</t>
  </si>
  <si>
    <t>Fred Fredders</t>
  </si>
  <si>
    <t>Fred@gmail.com</t>
  </si>
  <si>
    <t>Lisa James</t>
  </si>
  <si>
    <t>Lisa@Gmail.com</t>
  </si>
  <si>
    <t>Harold Banks</t>
  </si>
  <si>
    <t>Mary Poppins</t>
  </si>
  <si>
    <t>Mary@Gmail.com</t>
  </si>
  <si>
    <t>Harold@Gmail.com</t>
  </si>
  <si>
    <t>Active</t>
  </si>
  <si>
    <t>David Davis</t>
  </si>
  <si>
    <t>David@Gmai.com</t>
  </si>
  <si>
    <t>Inactive</t>
  </si>
  <si>
    <t>Criteria</t>
  </si>
  <si>
    <t>Results</t>
  </si>
  <si>
    <t>Assigned To Member</t>
  </si>
  <si>
    <t>STAGES</t>
  </si>
  <si>
    <t>[All Projects]</t>
  </si>
  <si>
    <t>TO REVIEW</t>
  </si>
  <si>
    <t>[Show All]</t>
  </si>
  <si>
    <t>Show Priorities</t>
  </si>
  <si>
    <t>Display Cards From:</t>
  </si>
  <si>
    <t>Task Row</t>
  </si>
  <si>
    <t>Next Task ID</t>
  </si>
  <si>
    <t>Fredders Website</t>
  </si>
  <si>
    <t>Johns Custom App</t>
  </si>
  <si>
    <t>Franklin Site Design</t>
  </si>
  <si>
    <t>Project Name</t>
  </si>
  <si>
    <t>Grocery Store Site</t>
  </si>
  <si>
    <t>Show Closed</t>
  </si>
  <si>
    <t>B7</t>
  </si>
  <si>
    <t>B3</t>
  </si>
  <si>
    <t>F3</t>
  </si>
  <si>
    <t>H3</t>
  </si>
  <si>
    <t>J3</t>
  </si>
  <si>
    <t>B5</t>
  </si>
  <si>
    <t>F5</t>
  </si>
  <si>
    <t>H5</t>
  </si>
  <si>
    <t>J5</t>
  </si>
  <si>
    <t>J7</t>
  </si>
  <si>
    <t>E8</t>
  </si>
  <si>
    <t>TASK CARD LIST</t>
  </si>
  <si>
    <t>BACKLOG</t>
  </si>
  <si>
    <t>Update Date</t>
  </si>
  <si>
    <t>Site Scope</t>
  </si>
  <si>
    <t>App Scope</t>
  </si>
  <si>
    <t>Design Screen</t>
  </si>
  <si>
    <t>Client Call</t>
  </si>
  <si>
    <t>Client Meeting</t>
  </si>
  <si>
    <t>Project Scope</t>
  </si>
  <si>
    <t>Client Email</t>
  </si>
  <si>
    <t>Design Email</t>
  </si>
  <si>
    <t>Customer Email</t>
  </si>
  <si>
    <t>Screen Release</t>
  </si>
  <si>
    <t>Flowchart</t>
  </si>
  <si>
    <t>Scope</t>
  </si>
  <si>
    <t>Meeting</t>
  </si>
  <si>
    <t>Call</t>
  </si>
  <si>
    <t>Site Scope Details</t>
  </si>
  <si>
    <t>App Scope Details</t>
  </si>
  <si>
    <t>Design Screen Details</t>
  </si>
  <si>
    <t>Client Call Details</t>
  </si>
  <si>
    <t>Client Meeting Details</t>
  </si>
  <si>
    <t>Project Scope Details</t>
  </si>
  <si>
    <t>Client Email Details</t>
  </si>
  <si>
    <t>Design Email Details</t>
  </si>
  <si>
    <t>Customer Email Details</t>
  </si>
  <si>
    <t>Screen Release Details</t>
  </si>
  <si>
    <t>Flowchart Details</t>
  </si>
  <si>
    <t>Required</t>
  </si>
  <si>
    <t>App Testing</t>
  </si>
  <si>
    <t>App Testing Details</t>
  </si>
  <si>
    <t>CRITERIA</t>
  </si>
  <si>
    <t>Show Categories</t>
  </si>
  <si>
    <t>Meeting/Call</t>
  </si>
  <si>
    <t>[All Categories]</t>
  </si>
  <si>
    <t>Sel. Proj ID</t>
  </si>
  <si>
    <t>RESULTS</t>
  </si>
  <si>
    <t>CLOSED</t>
  </si>
  <si>
    <t>Expand Tasks</t>
  </si>
  <si>
    <t>Selected Task Details</t>
  </si>
  <si>
    <t>Left Pos</t>
  </si>
  <si>
    <t>Top Pos</t>
  </si>
  <si>
    <t>Task Move</t>
  </si>
  <si>
    <t>Site Design</t>
  </si>
  <si>
    <t>Test details</t>
  </si>
  <si>
    <t>Test</t>
  </si>
  <si>
    <t>Prev Col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</si>
</sst>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d\,\ mmm\ dd\,\ 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0"/>
      <color theme="1"/>
      <name val="Arial Rounded MT Bold"/>
      <family val="2"/>
    </font>
    <font>
      <sz val="11"/>
      <name val="Calibri"/>
      <family val="2"/>
      <scheme val="minor"/>
    </font>
    <font>
      <u/>
      <sz val="11"/>
      <color theme="2" tint="-0.749961851863155"/>
      <name val="Calibri"/>
      <family val="2"/>
      <scheme val="minor"/>
    </font>
    <font>
      <sz val="30"/>
      <color theme="2" tint="-0.749992370372631"/>
      <name val="Arial Rounded MT Bold"/>
      <family val="2"/>
    </font>
    <font>
      <sz val="8"/>
      <color rgb="FF000000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0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3" tint="0.59999389629810485"/>
        </stop>
        <stop position="1">
          <color theme="3" tint="0.80001220740379042"/>
        </stop>
      </gradientFill>
    </fill>
    <fill>
      <gradientFill degree="90">
        <stop position="0">
          <color theme="3" tint="0.40000610370189521"/>
        </stop>
        <stop position="1">
          <color theme="3" tint="0.59999389629810485"/>
        </stop>
      </gradientFill>
    </fill>
    <fill>
      <gradientFill degree="270">
        <stop position="0">
          <color theme="2"/>
        </stop>
        <stop position="1">
          <color theme="2" tint="-9.8025452436902985E-2"/>
        </stop>
      </gradientFill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theme="6" tint="0.59999389629810485"/>
        <bgColor indexed="64"/>
      </patternFill>
    </fill>
  </fills>
  <borders count="43">
    <border>
      <left/>
      <right/>
      <top/>
      <bottom/>
      <diagonal/>
    </border>
    <border>
      <left style="thin">
        <color theme="8" tint="-0.499984740745262"/>
      </left>
      <right/>
      <top style="thin">
        <color theme="8" tint="-0.499984740745262"/>
      </top>
      <bottom/>
      <diagonal/>
    </border>
    <border>
      <left/>
      <right/>
      <top style="thin">
        <color theme="8" tint="-0.499984740745262"/>
      </top>
      <bottom/>
      <diagonal/>
    </border>
    <border>
      <left/>
      <right style="thin">
        <color theme="8" tint="-0.499984740745262"/>
      </right>
      <top style="thin">
        <color theme="8" tint="-0.499984740745262"/>
      </top>
      <bottom/>
      <diagonal/>
    </border>
    <border>
      <left style="thin">
        <color theme="8" tint="-0.499984740745262"/>
      </left>
      <right/>
      <top/>
      <bottom style="thin">
        <color theme="8" tint="-0.499984740745262"/>
      </bottom>
      <diagonal/>
    </border>
    <border>
      <left/>
      <right/>
      <top/>
      <bottom style="thin">
        <color theme="8" tint="-0.499984740745262"/>
      </bottom>
      <diagonal/>
    </border>
    <border>
      <left/>
      <right style="thin">
        <color theme="8" tint="-0.499984740745262"/>
      </right>
      <top/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8" tint="-0.24994659260841701"/>
      </left>
      <right style="medium">
        <color theme="8" tint="-0.24994659260841701"/>
      </right>
      <top/>
      <bottom/>
      <diagonal/>
    </border>
    <border>
      <left style="thin">
        <color theme="4" tint="-0.499984740745262"/>
      </left>
      <right style="thin">
        <color indexed="64"/>
      </right>
      <top style="thin">
        <color theme="4" tint="-0.499984740745262"/>
      </top>
      <bottom style="thin">
        <color indexed="64"/>
      </bottom>
      <diagonal/>
    </border>
    <border>
      <left style="thin">
        <color indexed="64"/>
      </left>
      <right style="thin">
        <color theme="4" tint="-0.499984740745262"/>
      </right>
      <top style="thin">
        <color theme="4" tint="-0.499984740745262"/>
      </top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indexed="64"/>
      </bottom>
      <diagonal/>
    </border>
    <border>
      <left/>
      <right style="thin">
        <color theme="4" tint="-0.499984740745262"/>
      </right>
      <top style="thin">
        <color indexed="64"/>
      </top>
      <bottom style="hair">
        <color theme="4" tint="-0.499984740745262"/>
      </bottom>
      <diagonal/>
    </border>
    <border>
      <left/>
      <right style="thin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/>
      <right style="thin">
        <color theme="4" tint="-0.499984740745262"/>
      </right>
      <top style="hair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indexed="64"/>
      </top>
      <bottom style="hair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hair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/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 style="medium">
        <color theme="8" tint="-0.24994659260841701"/>
      </right>
      <top/>
      <bottom/>
      <diagonal/>
    </border>
    <border>
      <left style="medium">
        <color theme="8" tint="-0.24994659260841701"/>
      </left>
      <right style="double">
        <color theme="8" tint="-0.24994659260841701"/>
      </right>
      <top/>
      <bottom/>
      <diagonal/>
    </border>
    <border>
      <left/>
      <right style="medium">
        <color theme="8" tint="-0.24994659260841701"/>
      </right>
      <top style="medium">
        <color theme="8" tint="-0.24994659260841701"/>
      </top>
      <bottom style="thin">
        <color theme="8" tint="-0.2499465926084170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8" tint="-0.24994659260841701"/>
      </left>
      <right style="double">
        <color theme="8" tint="-0.24994659260841701"/>
      </right>
      <top style="thin">
        <color theme="8" tint="-0.24994659260841701"/>
      </top>
      <bottom style="hair">
        <color theme="8" tint="-0.24994659260841701"/>
      </bottom>
      <diagonal/>
    </border>
    <border>
      <left style="thin">
        <color theme="3" tint="-0.499984740745262"/>
      </left>
      <right style="hair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hair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medium">
        <color theme="8" tint="-0.24994659260841701"/>
      </left>
      <right style="double">
        <color theme="8" tint="-0.24994659260841701"/>
      </right>
      <top style="medium">
        <color theme="8" tint="-0.24994659260841701"/>
      </top>
      <bottom style="thin">
        <color theme="8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hair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hair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5">
    <xf numFmtId="0" fontId="0" fillId="0" borderId="0" xfId="0"/>
    <xf numFmtId="0" fontId="0" fillId="6" borderId="0" xfId="0" applyFill="1"/>
    <xf numFmtId="0" fontId="0" fillId="0" borderId="0" xfId="0" applyAlignment="1">
      <alignment horizontal="center"/>
    </xf>
    <xf numFmtId="0" fontId="0" fillId="7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8" xfId="0" applyFill="1" applyBorder="1"/>
    <xf numFmtId="0" fontId="0" fillId="7" borderId="7" xfId="0" applyFill="1" applyBorder="1" applyAlignment="1">
      <alignment horizontal="right"/>
    </xf>
    <xf numFmtId="0" fontId="0" fillId="7" borderId="0" xfId="0" applyFill="1" applyAlignment="1">
      <alignment horizontal="right"/>
    </xf>
    <xf numFmtId="0" fontId="0" fillId="13" borderId="0" xfId="0" applyFill="1"/>
    <xf numFmtId="0" fontId="2" fillId="14" borderId="0" xfId="0" applyFont="1" applyFill="1" applyAlignment="1"/>
    <xf numFmtId="0" fontId="1" fillId="15" borderId="9" xfId="0" applyFont="1" applyFill="1" applyBorder="1" applyAlignment="1">
      <alignment horizontal="center"/>
    </xf>
    <xf numFmtId="0" fontId="0" fillId="0" borderId="10" xfId="0" applyBorder="1"/>
    <xf numFmtId="0" fontId="0" fillId="12" borderId="17" xfId="0" applyFill="1" applyBorder="1"/>
    <xf numFmtId="0" fontId="0" fillId="12" borderId="18" xfId="0" applyFill="1" applyBorder="1"/>
    <xf numFmtId="0" fontId="0" fillId="12" borderId="19" xfId="0" applyFill="1" applyBorder="1"/>
    <xf numFmtId="0" fontId="1" fillId="9" borderId="13" xfId="0" applyFont="1" applyFill="1" applyBorder="1" applyAlignment="1">
      <alignment horizontal="center"/>
    </xf>
    <xf numFmtId="0" fontId="1" fillId="9" borderId="11" xfId="0" applyFont="1" applyFill="1" applyBorder="1" applyAlignment="1">
      <alignment horizontal="center"/>
    </xf>
    <xf numFmtId="0" fontId="1" fillId="9" borderId="12" xfId="0" applyFon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0" borderId="25" xfId="0" applyBorder="1"/>
    <xf numFmtId="0" fontId="0" fillId="7" borderId="26" xfId="0" applyFill="1" applyBorder="1"/>
    <xf numFmtId="0" fontId="1" fillId="11" borderId="27" xfId="0" applyFont="1" applyFill="1" applyBorder="1" applyAlignment="1">
      <alignment horizontal="center"/>
    </xf>
    <xf numFmtId="0" fontId="4" fillId="0" borderId="0" xfId="1"/>
    <xf numFmtId="0" fontId="0" fillId="0" borderId="0" xfId="0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7" borderId="30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12" borderId="32" xfId="0" applyFill="1" applyBorder="1"/>
    <xf numFmtId="0" fontId="3" fillId="7" borderId="31" xfId="0" applyFont="1" applyFill="1" applyBorder="1" applyAlignment="1">
      <alignment horizontal="right"/>
    </xf>
    <xf numFmtId="0" fontId="1" fillId="11" borderId="33" xfId="0" applyFont="1" applyFill="1" applyBorder="1" applyAlignment="1">
      <alignment horizontal="center"/>
    </xf>
    <xf numFmtId="0" fontId="0" fillId="0" borderId="34" xfId="0" applyBorder="1"/>
    <xf numFmtId="0" fontId="0" fillId="12" borderId="35" xfId="0" applyFill="1" applyBorder="1"/>
    <xf numFmtId="0" fontId="0" fillId="12" borderId="36" xfId="0" applyFill="1" applyBorder="1"/>
    <xf numFmtId="0" fontId="0" fillId="12" borderId="37" xfId="0" applyFill="1" applyBorder="1"/>
    <xf numFmtId="0" fontId="0" fillId="8" borderId="9" xfId="0" applyFill="1" applyBorder="1"/>
    <xf numFmtId="0" fontId="0" fillId="8" borderId="9" xfId="0" applyFill="1" applyBorder="1" applyAlignment="1">
      <alignment horizontal="left"/>
    </xf>
    <xf numFmtId="0" fontId="0" fillId="17" borderId="9" xfId="0" applyFill="1" applyBorder="1" applyAlignment="1">
      <alignment horizontal="center"/>
    </xf>
    <xf numFmtId="0" fontId="0" fillId="19" borderId="9" xfId="0" applyFill="1" applyBorder="1" applyAlignment="1">
      <alignment horizontal="center"/>
    </xf>
    <xf numFmtId="0" fontId="0" fillId="21" borderId="9" xfId="0" applyFill="1" applyBorder="1" applyAlignment="1">
      <alignment horizontal="center"/>
    </xf>
    <xf numFmtId="0" fontId="0" fillId="21" borderId="9" xfId="0" applyFill="1" applyBorder="1"/>
    <xf numFmtId="0" fontId="0" fillId="12" borderId="41" xfId="0" applyFill="1" applyBorder="1"/>
    <xf numFmtId="0" fontId="0" fillId="12" borderId="0" xfId="0" applyFill="1" applyBorder="1"/>
    <xf numFmtId="0" fontId="0" fillId="6" borderId="0" xfId="0" applyFill="1" applyAlignment="1">
      <alignment horizontal="left"/>
    </xf>
    <xf numFmtId="0" fontId="0" fillId="6" borderId="42" xfId="0" applyFill="1" applyBorder="1" applyAlignment="1">
      <alignment horizontal="center"/>
    </xf>
    <xf numFmtId="14" fontId="0" fillId="0" borderId="0" xfId="0" applyNumberFormat="1"/>
    <xf numFmtId="0" fontId="0" fillId="7" borderId="31" xfId="0" applyFill="1" applyBorder="1" applyAlignment="1">
      <alignment horizontal="right"/>
    </xf>
    <xf numFmtId="0" fontId="0" fillId="19" borderId="9" xfId="0" applyFill="1" applyBorder="1"/>
    <xf numFmtId="0" fontId="0" fillId="2" borderId="9" xfId="0" applyFill="1" applyBorder="1"/>
    <xf numFmtId="0" fontId="0" fillId="4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164" fontId="0" fillId="12" borderId="8" xfId="0" applyNumberFormat="1" applyFill="1" applyBorder="1" applyAlignment="1">
      <alignment horizontal="left"/>
    </xf>
    <xf numFmtId="164" fontId="0" fillId="12" borderId="8" xfId="0" applyNumberFormat="1" applyFont="1" applyFill="1" applyBorder="1" applyAlignment="1">
      <alignment horizontal="left"/>
    </xf>
    <xf numFmtId="0" fontId="0" fillId="18" borderId="9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2" borderId="9" xfId="0" applyFill="1" applyBorder="1" applyAlignment="1">
      <alignment horizontal="left"/>
    </xf>
    <xf numFmtId="0" fontId="1" fillId="9" borderId="23" xfId="0" applyFont="1" applyFill="1" applyBorder="1" applyAlignment="1">
      <alignment horizontal="right"/>
    </xf>
    <xf numFmtId="0" fontId="1" fillId="9" borderId="24" xfId="0" applyFont="1" applyFill="1" applyBorder="1" applyAlignment="1">
      <alignment horizontal="right"/>
    </xf>
    <xf numFmtId="0" fontId="0" fillId="12" borderId="20" xfId="0" applyFill="1" applyBorder="1" applyAlignment="1">
      <alignment horizontal="right"/>
    </xf>
    <xf numFmtId="0" fontId="0" fillId="12" borderId="21" xfId="0" applyFill="1" applyBorder="1" applyAlignment="1">
      <alignment horizontal="right"/>
    </xf>
    <xf numFmtId="0" fontId="0" fillId="12" borderId="22" xfId="0" applyFill="1" applyBorder="1" applyAlignment="1">
      <alignment horizontal="right"/>
    </xf>
    <xf numFmtId="0" fontId="2" fillId="14" borderId="0" xfId="0" applyFont="1" applyFill="1" applyAlignment="1">
      <alignment horizontal="center"/>
    </xf>
    <xf numFmtId="0" fontId="5" fillId="10" borderId="0" xfId="0" applyFont="1" applyFill="1" applyAlignment="1">
      <alignment horizontal="center"/>
    </xf>
    <xf numFmtId="0" fontId="0" fillId="12" borderId="1" xfId="0" applyFill="1" applyBorder="1" applyAlignment="1">
      <alignment horizontal="left" vertical="top"/>
    </xf>
    <xf numFmtId="0" fontId="0" fillId="12" borderId="2" xfId="0" applyFill="1" applyBorder="1" applyAlignment="1">
      <alignment horizontal="left" vertical="top"/>
    </xf>
    <xf numFmtId="0" fontId="0" fillId="12" borderId="3" xfId="0" applyFill="1" applyBorder="1" applyAlignment="1">
      <alignment horizontal="left" vertical="top"/>
    </xf>
    <xf numFmtId="0" fontId="0" fillId="12" borderId="4" xfId="0" applyFill="1" applyBorder="1" applyAlignment="1">
      <alignment horizontal="left" vertical="top"/>
    </xf>
    <xf numFmtId="0" fontId="0" fillId="12" borderId="5" xfId="0" applyFill="1" applyBorder="1" applyAlignment="1">
      <alignment horizontal="left" vertical="top"/>
    </xf>
    <xf numFmtId="0" fontId="0" fillId="12" borderId="6" xfId="0" applyFill="1" applyBorder="1" applyAlignment="1">
      <alignment horizontal="left" vertical="top"/>
    </xf>
    <xf numFmtId="0" fontId="0" fillId="22" borderId="38" xfId="0" applyFill="1" applyBorder="1" applyAlignment="1">
      <alignment horizontal="center"/>
    </xf>
    <xf numFmtId="0" fontId="0" fillId="22" borderId="40" xfId="0" applyFill="1" applyBorder="1" applyAlignment="1">
      <alignment horizontal="center"/>
    </xf>
    <xf numFmtId="0" fontId="1" fillId="20" borderId="39" xfId="0" applyFont="1" applyFill="1" applyBorder="1" applyAlignment="1">
      <alignment horizontal="center"/>
    </xf>
    <xf numFmtId="0" fontId="1" fillId="20" borderId="29" xfId="0" applyFont="1" applyFill="1" applyBorder="1" applyAlignment="1">
      <alignment horizontal="center"/>
    </xf>
    <xf numFmtId="0" fontId="0" fillId="18" borderId="38" xfId="0" applyFill="1" applyBorder="1" applyAlignment="1">
      <alignment horizontal="center"/>
    </xf>
    <xf numFmtId="0" fontId="0" fillId="18" borderId="39" xfId="0" applyFill="1" applyBorder="1" applyAlignment="1">
      <alignment horizontal="center"/>
    </xf>
    <xf numFmtId="0" fontId="0" fillId="18" borderId="40" xfId="0" applyFill="1" applyBorder="1" applyAlignment="1">
      <alignment horizontal="center"/>
    </xf>
    <xf numFmtId="0" fontId="0" fillId="18" borderId="9" xfId="0" applyFill="1" applyBorder="1" applyAlignment="1">
      <alignment horizontal="center"/>
    </xf>
    <xf numFmtId="0" fontId="1" fillId="16" borderId="9" xfId="0" applyFont="1" applyFill="1" applyBorder="1" applyAlignment="1">
      <alignment horizontal="center"/>
    </xf>
    <xf numFmtId="0" fontId="1" fillId="5" borderId="28" xfId="0" applyFont="1" applyFill="1" applyBorder="1" applyAlignment="1">
      <alignment horizontal="center"/>
    </xf>
    <xf numFmtId="0" fontId="1" fillId="5" borderId="29" xfId="0" applyFont="1" applyFill="1" applyBorder="1" applyAlignment="1">
      <alignment horizontal="center"/>
    </xf>
  </cellXfs>
  <cellStyles count="2">
    <cellStyle name="Hyperlink" xfId="1" builtinId="8" customBuiltin="1"/>
    <cellStyle name="Normal" xfId="0" builtinId="0"/>
  </cellStyles>
  <dxfs count="3">
    <dxf>
      <font>
        <b/>
        <i val="0"/>
        <color theme="0"/>
      </font>
      <fill>
        <gradientFill degree="90">
          <stop position="0">
            <color theme="8" tint="-0.49803155613879818"/>
          </stop>
          <stop position="1">
            <color theme="8" tint="-0.25098422193060094"/>
          </stop>
        </gradientFill>
      </fill>
    </dxf>
    <dxf>
      <fill>
        <patternFill>
          <bgColor rgb="FFF3FAFF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3FA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$B$13" lockText="1" noThreeD="1"/>
</file>

<file path=xl/ctrlProps/ctrlProp2.xml><?xml version="1.0" encoding="utf-8"?>
<formControlPr xmlns="http://schemas.microsoft.com/office/spreadsheetml/2009/9/main" objectType="CheckBox" checked="Checked" fmlaLink="$B$10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bit.ly/PatreonWrk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youtu.be/3qbU5S8ZaEA" TargetMode="External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.png"/><Relationship Id="rId4" Type="http://schemas.openxmlformats.org/officeDocument/2006/relationships/image" Target="../media/image5.png"/><Relationship Id="rId9" Type="http://schemas.openxmlformats.org/officeDocument/2006/relationships/hyperlink" Target="https://bit.ly/PatreonWrk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247650</xdr:colOff>
      <xdr:row>9</xdr:row>
      <xdr:rowOff>46706</xdr:rowOff>
    </xdr:from>
    <xdr:to>
      <xdr:col>14</xdr:col>
      <xdr:colOff>409575</xdr:colOff>
      <xdr:row>36</xdr:row>
      <xdr:rowOff>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447993B-C46C-4B7B-8552-425960FDE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2037431"/>
          <a:ext cx="5086350" cy="5096794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390525</xdr:colOff>
      <xdr:row>0</xdr:row>
      <xdr:rowOff>0</xdr:rowOff>
    </xdr:from>
    <xdr:to>
      <xdr:col>3</xdr:col>
      <xdr:colOff>1238250</xdr:colOff>
      <xdr:row>2</xdr:row>
      <xdr:rowOff>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9825" y="0"/>
          <a:ext cx="847725" cy="838200"/>
        </a:xfrm>
        <a:prstGeom prst="rect">
          <a:avLst/>
        </a:prstGeom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4</xdr:col>
      <xdr:colOff>1</xdr:colOff>
      <xdr:row>11</xdr:row>
      <xdr:rowOff>123428</xdr:rowOff>
    </xdr:from>
    <xdr:to>
      <xdr:col>4</xdr:col>
      <xdr:colOff>485775</xdr:colOff>
      <xdr:row>11</xdr:row>
      <xdr:rowOff>416036</xdr:rowOff>
    </xdr:to>
    <xdr:sp macro="[0]!Member_Filter" textlink="">
      <xdr:nvSpPr>
        <xdr:cNvPr id="19" name="AllMembShp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3343276" y="2495153"/>
          <a:ext cx="485774" cy="292608"/>
        </a:xfrm>
        <a:prstGeom prst="round2Same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lIns="45720" rtlCol="0" anchor="t"/>
        <a:lstStyle/>
        <a:p>
          <a:pPr algn="ctr"/>
          <a:r>
            <a:rPr lang="en-US" sz="1100" b="1"/>
            <a:t>All</a:t>
          </a:r>
        </a:p>
      </xdr:txBody>
    </xdr:sp>
    <xdr:clientData/>
  </xdr:twoCellAnchor>
  <xdr:twoCellAnchor editAs="oneCell">
    <xdr:from>
      <xdr:col>0</xdr:col>
      <xdr:colOff>295276</xdr:colOff>
      <xdr:row>0</xdr:row>
      <xdr:rowOff>333375</xdr:rowOff>
    </xdr:from>
    <xdr:to>
      <xdr:col>1</xdr:col>
      <xdr:colOff>638176</xdr:colOff>
      <xdr:row>1</xdr:row>
      <xdr:rowOff>161925</xdr:rowOff>
    </xdr:to>
    <xdr:grpSp>
      <xdr:nvGrpSpPr>
        <xdr:cNvPr id="22" name="SampleMembGrp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295276" y="333375"/>
          <a:ext cx="1162050" cy="295275"/>
          <a:chOff x="2457451" y="2657475"/>
          <a:chExt cx="1162050" cy="295275"/>
        </a:xfrm>
      </xdr:grpSpPr>
      <xdr:sp macro="[0]!Member_Filter" textlink="">
        <xdr:nvSpPr>
          <xdr:cNvPr id="23" name="MembTab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/>
        </xdr:nvSpPr>
        <xdr:spPr>
          <a:xfrm>
            <a:off x="2457451" y="2657475"/>
            <a:ext cx="1162050" cy="295275"/>
          </a:xfrm>
          <a:prstGeom prst="round2Same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lIns="292608" rtlCol="0" anchor="t"/>
          <a:lstStyle/>
          <a:p>
            <a:pPr algn="l"/>
            <a:r>
              <a:rPr lang="en-US" sz="1100"/>
              <a:t>Sample</a:t>
            </a:r>
          </a:p>
        </xdr:txBody>
      </xdr:sp>
      <xdr:sp macro="[0]!Member_Filter" textlink="">
        <xdr:nvSpPr>
          <xdr:cNvPr id="24" name="MembPic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2514599" y="2705100"/>
            <a:ext cx="201168" cy="201168"/>
          </a:xfrm>
          <a:prstGeom prst="ellipse">
            <a:avLst/>
          </a:prstGeom>
          <a:no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9</xdr:col>
      <xdr:colOff>285749</xdr:colOff>
      <xdr:row>11</xdr:row>
      <xdr:rowOff>171450</xdr:rowOff>
    </xdr:from>
    <xdr:to>
      <xdr:col>9</xdr:col>
      <xdr:colOff>1438274</xdr:colOff>
      <xdr:row>11</xdr:row>
      <xdr:rowOff>409575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11534774" y="2543175"/>
          <a:ext cx="1152525" cy="238125"/>
          <a:chOff x="11106149" y="2695575"/>
          <a:chExt cx="1152525" cy="247650"/>
        </a:xfrm>
      </xdr:grpSpPr>
      <xdr:sp macro="[0]!Members_Refresh" textlink="">
        <xdr:nvSpPr>
          <xdr:cNvPr id="21" name="Rounded Rectangle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1106149" y="2695575"/>
            <a:ext cx="1152525" cy="247650"/>
          </a:xfrm>
          <a:prstGeom prst="round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lIns="0" tIns="0" rIns="45720" bIns="0" rtlCol="0" anchor="ctr"/>
          <a:lstStyle/>
          <a:p>
            <a:pPr algn="r"/>
            <a:r>
              <a:rPr lang="en-US" sz="1100"/>
              <a:t>Refresh</a:t>
            </a:r>
            <a:r>
              <a:rPr lang="en-US" sz="1100" baseline="0"/>
              <a:t> Team</a:t>
            </a:r>
            <a:endParaRPr lang="en-US" sz="1100"/>
          </a:p>
        </xdr:txBody>
      </xdr:sp>
      <xdr:pic macro="[0]!Members_Refresh">
        <xdr:nvPicPr>
          <xdr:cNvPr id="25" name="Pictur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134725" y="2727960"/>
            <a:ext cx="229496" cy="18288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11</xdr:row>
          <xdr:rowOff>209550</xdr:rowOff>
        </xdr:from>
        <xdr:to>
          <xdr:col>3</xdr:col>
          <xdr:colOff>1257300</xdr:colOff>
          <xdr:row>12</xdr:row>
          <xdr:rowOff>28575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P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View Closed Projects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142875</xdr:colOff>
      <xdr:row>19</xdr:row>
      <xdr:rowOff>95250</xdr:rowOff>
    </xdr:from>
    <xdr:to>
      <xdr:col>1</xdr:col>
      <xdr:colOff>744780</xdr:colOff>
      <xdr:row>24</xdr:row>
      <xdr:rowOff>114300</xdr:rowOff>
    </xdr:to>
    <xdr:grpSp>
      <xdr:nvGrpSpPr>
        <xdr:cNvPr id="27" name="SampleCard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42875" y="4238625"/>
          <a:ext cx="1421055" cy="971550"/>
          <a:chOff x="3419475" y="3048000"/>
          <a:chExt cx="1421055" cy="971550"/>
        </a:xfrm>
      </xdr:grpSpPr>
      <xdr:sp macro="[0]!Kanban_SelectTask" textlink="">
        <xdr:nvSpPr>
          <xdr:cNvPr id="9" name="CardBack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3419475" y="3048000"/>
            <a:ext cx="1419225" cy="962025"/>
          </a:xfrm>
          <a:prstGeom prst="snip1Rect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lIns="45720" tIns="0" bIns="0" rtlCol="0" anchor="t"/>
          <a:lstStyle/>
          <a:p>
            <a:pPr algn="l"/>
            <a:br>
              <a:rPr lang="en-US" sz="1100" b="0" baseline="0"/>
            </a:br>
            <a:endParaRPr lang="en-US" sz="1100" b="0" baseline="0"/>
          </a:p>
        </xdr:txBody>
      </xdr:sp>
      <xdr:sp macro="" textlink="">
        <xdr:nvSpPr>
          <xdr:cNvPr id="13" name="CardMembPic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3438525" y="3800475"/>
            <a:ext cx="201168" cy="201168"/>
          </a:xfrm>
          <a:prstGeom prst="ellipse">
            <a:avLst/>
          </a:prstGeom>
          <a:no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" name="CardMembName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3648075" y="3790950"/>
            <a:ext cx="10191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endParaRPr lang="en-US" sz="1100"/>
          </a:p>
        </xdr:txBody>
      </xdr:sp>
      <xdr:sp macro="[0]!Kanban_MoveCard" textlink="">
        <xdr:nvSpPr>
          <xdr:cNvPr id="17" name="MoveCardBtn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/>
        </xdr:nvSpPr>
        <xdr:spPr>
          <a:xfrm>
            <a:off x="4589977" y="3082344"/>
            <a:ext cx="165724" cy="182880"/>
          </a:xfrm>
          <a:prstGeom prst="rightArrow">
            <a:avLst/>
          </a:prstGeom>
          <a:ln/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Task_Display">
        <xdr:nvPicPr>
          <xdr:cNvPr id="11" name="ViewCardBtn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57650" y="3809925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9</xdr:col>
      <xdr:colOff>256051</xdr:colOff>
      <xdr:row>1</xdr:row>
      <xdr:rowOff>84360</xdr:rowOff>
    </xdr:from>
    <xdr:to>
      <xdr:col>9</xdr:col>
      <xdr:colOff>1151401</xdr:colOff>
      <xdr:row>1</xdr:row>
      <xdr:rowOff>332010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11505076" y="551085"/>
          <a:ext cx="895350" cy="247650"/>
          <a:chOff x="11287125" y="2143125"/>
          <a:chExt cx="895350" cy="247650"/>
        </a:xfrm>
      </xdr:grpSpPr>
      <xdr:sp macro="[0]!Task_New" textlink="">
        <xdr:nvSpPr>
          <xdr:cNvPr id="44" name="Rounded Rectangle 43">
            <a:extLst>
              <a:ext uri="{FF2B5EF4-FFF2-40B4-BE49-F238E27FC236}">
                <a16:creationId xmlns:a16="http://schemas.microsoft.com/office/drawing/2014/main" id="{00000000-0008-0000-0100-00002C000000}"/>
              </a:ext>
            </a:extLst>
          </xdr:cNvPr>
          <xdr:cNvSpPr/>
        </xdr:nvSpPr>
        <xdr:spPr>
          <a:xfrm>
            <a:off x="11287125" y="2143125"/>
            <a:ext cx="895350" cy="247650"/>
          </a:xfrm>
          <a:prstGeom prst="round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lIns="0" tIns="0" rIns="45720" bIns="0" rtlCol="0" anchor="ctr"/>
          <a:lstStyle/>
          <a:p>
            <a:pPr algn="r"/>
            <a:r>
              <a:rPr lang="en-US" sz="1100"/>
              <a:t>New Task</a:t>
            </a:r>
          </a:p>
        </xdr:txBody>
      </xdr:sp>
      <xdr:pic macro="[0]!Task_New"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34750" y="2175510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1065680</xdr:colOff>
      <xdr:row>10</xdr:row>
      <xdr:rowOff>19050</xdr:rowOff>
    </xdr:from>
    <xdr:to>
      <xdr:col>3</xdr:col>
      <xdr:colOff>1294280</xdr:colOff>
      <xdr:row>11</xdr:row>
      <xdr:rowOff>62193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84980" y="2200275"/>
          <a:ext cx="228600" cy="2336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11</xdr:row>
          <xdr:rowOff>19050</xdr:rowOff>
        </xdr:from>
        <xdr:to>
          <xdr:col>3</xdr:col>
          <xdr:colOff>1257300</xdr:colOff>
          <xdr:row>11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P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Expand All Tasks</a:t>
              </a:r>
            </a:p>
          </xdr:txBody>
        </xdr:sp>
        <xdr:clientData/>
      </xdr:twoCellAnchor>
    </mc:Choice>
    <mc:Fallback/>
  </mc:AlternateContent>
  <xdr:twoCellAnchor editAs="oneCell">
    <xdr:from>
      <xdr:col>3</xdr:col>
      <xdr:colOff>428625</xdr:colOff>
      <xdr:row>1</xdr:row>
      <xdr:rowOff>80962</xdr:rowOff>
    </xdr:from>
    <xdr:to>
      <xdr:col>9</xdr:col>
      <xdr:colOff>121024</xdr:colOff>
      <xdr:row>5</xdr:row>
      <xdr:rowOff>47625</xdr:rowOff>
    </xdr:to>
    <xdr:grpSp>
      <xdr:nvGrpSpPr>
        <xdr:cNvPr id="47" name="TaskGrp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GrpSpPr/>
      </xdr:nvGrpSpPr>
      <xdr:grpSpPr>
        <a:xfrm>
          <a:off x="2447925" y="547687"/>
          <a:ext cx="8922124" cy="833438"/>
          <a:chOff x="2419350" y="547687"/>
          <a:chExt cx="8924925" cy="833438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GrpSpPr/>
        </xdr:nvGrpSpPr>
        <xdr:grpSpPr>
          <a:xfrm>
            <a:off x="9248775" y="547687"/>
            <a:ext cx="914400" cy="247650"/>
            <a:chOff x="8572500" y="2171700"/>
            <a:chExt cx="914400" cy="247650"/>
          </a:xfrm>
        </xdr:grpSpPr>
        <xdr:sp macro="[0]!Task_SaveUpdate" textlink="">
          <xdr:nvSpPr>
            <xdr:cNvPr id="42" name="Rounded Rectangle 41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SpPr/>
          </xdr:nvSpPr>
          <xdr:spPr>
            <a:xfrm>
              <a:off x="8572500" y="2171700"/>
              <a:ext cx="914400" cy="247650"/>
            </a:xfrm>
            <a:prstGeom prst="roundRect">
              <a:avLst/>
            </a:prstGeom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lIns="0" tIns="0" rIns="45720" bIns="0" rtlCol="0" anchor="ctr"/>
            <a:lstStyle/>
            <a:p>
              <a:pPr algn="r"/>
              <a:r>
                <a:rPr lang="en-US" sz="1100"/>
                <a:t>Save Task</a:t>
              </a:r>
            </a:p>
          </xdr:txBody>
        </xdr:sp>
        <xdr:pic macro="[0]!Task_SaveUpdate">
          <xdr:nvPicPr>
            <xdr:cNvPr id="3" name="Picture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646300" y="2204085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GrpSpPr/>
        </xdr:nvGrpSpPr>
        <xdr:grpSpPr>
          <a:xfrm>
            <a:off x="10315575" y="547687"/>
            <a:ext cx="1028700" cy="247650"/>
            <a:chOff x="9791700" y="2171700"/>
            <a:chExt cx="1028700" cy="247650"/>
          </a:xfrm>
        </xdr:grpSpPr>
        <xdr:sp macro="[0]!Task_Delete" textlink="">
          <xdr:nvSpPr>
            <xdr:cNvPr id="45" name="Rounded Rectangle 44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/>
          </xdr:nvSpPr>
          <xdr:spPr>
            <a:xfrm>
              <a:off x="9791700" y="2171700"/>
              <a:ext cx="1028700" cy="247650"/>
            </a:xfrm>
            <a:prstGeom prst="roundRect">
              <a:avLst/>
            </a:prstGeom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lIns="0" tIns="0" rIns="45720" bIns="0" rtlCol="0" anchor="ctr"/>
            <a:lstStyle/>
            <a:p>
              <a:pPr algn="r"/>
              <a:r>
                <a:rPr lang="en-US" sz="1100"/>
                <a:t>Delete Task</a:t>
              </a:r>
            </a:p>
          </xdr:txBody>
        </xdr:sp>
        <xdr:pic macro="[0]!Task_Delete">
          <xdr:nvPicPr>
            <xdr:cNvPr id="4" name="Picture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844050" y="2204085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GrpSpPr/>
        </xdr:nvGrpSpPr>
        <xdr:grpSpPr>
          <a:xfrm>
            <a:off x="2419350" y="1143000"/>
            <a:ext cx="819150" cy="238125"/>
            <a:chOff x="2419350" y="1143000"/>
            <a:chExt cx="819150" cy="238125"/>
          </a:xfrm>
        </xdr:grpSpPr>
        <xdr:sp macro="[0]!Task_Hide" textlink="">
          <xdr:nvSpPr>
            <xdr:cNvPr id="3647" name="Rounded Rectangle 3646">
              <a:extLst>
                <a:ext uri="{FF2B5EF4-FFF2-40B4-BE49-F238E27FC236}">
                  <a16:creationId xmlns:a16="http://schemas.microsoft.com/office/drawing/2014/main" id="{00000000-0008-0000-0100-00003F0E0000}"/>
                </a:ext>
              </a:extLst>
            </xdr:cNvPr>
            <xdr:cNvSpPr/>
          </xdr:nvSpPr>
          <xdr:spPr>
            <a:xfrm>
              <a:off x="2419350" y="1143000"/>
              <a:ext cx="819150" cy="238125"/>
            </a:xfrm>
            <a:prstGeom prst="roundRect">
              <a:avLst/>
            </a:prstGeom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lIns="0" tIns="0" rIns="45720" bIns="0" rtlCol="0" anchor="ctr"/>
            <a:lstStyle/>
            <a:p>
              <a:pPr algn="r"/>
              <a:r>
                <a:rPr lang="en-US" sz="1100"/>
                <a:t>Hide Task</a:t>
              </a:r>
            </a:p>
          </xdr:txBody>
        </xdr:sp>
        <xdr:sp macro="[0]!Task_Hide" textlink="">
          <xdr:nvSpPr>
            <xdr:cNvPr id="41" name="Down Arrow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/>
          </xdr:nvSpPr>
          <xdr:spPr>
            <a:xfrm flipV="1">
              <a:off x="2457450" y="1181100"/>
              <a:ext cx="123825" cy="161925"/>
            </a:xfrm>
            <a:prstGeom prst="downArrow">
              <a:avLst/>
            </a:prstGeom>
            <a:solidFill>
              <a:schemeClr val="bg1"/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xdr:twoCellAnchor>
    <xdr:from>
      <xdr:col>6</xdr:col>
      <xdr:colOff>1222559</xdr:colOff>
      <xdr:row>1</xdr:row>
      <xdr:rowOff>84741</xdr:rowOff>
    </xdr:from>
    <xdr:to>
      <xdr:col>7</xdr:col>
      <xdr:colOff>922690</xdr:colOff>
      <xdr:row>1</xdr:row>
      <xdr:rowOff>331629</xdr:rowOff>
    </xdr:to>
    <xdr:grpSp>
      <xdr:nvGrpSpPr>
        <xdr:cNvPr id="422" name="Group 421"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GrpSpPr/>
      </xdr:nvGrpSpPr>
      <xdr:grpSpPr>
        <a:xfrm>
          <a:off x="7728134" y="551466"/>
          <a:ext cx="1281281" cy="246888"/>
          <a:chOff x="11106148" y="2695574"/>
          <a:chExt cx="1280160" cy="256764"/>
        </a:xfrm>
      </xdr:grpSpPr>
      <xdr:sp macro="[0]!Kanban_Refresh" textlink="">
        <xdr:nvSpPr>
          <xdr:cNvPr id="423" name="Rounded Rectangle 422">
            <a:extLst>
              <a:ext uri="{FF2B5EF4-FFF2-40B4-BE49-F238E27FC236}">
                <a16:creationId xmlns:a16="http://schemas.microsoft.com/office/drawing/2014/main" id="{00000000-0008-0000-0100-0000A7010000}"/>
              </a:ext>
            </a:extLst>
          </xdr:cNvPr>
          <xdr:cNvSpPr/>
        </xdr:nvSpPr>
        <xdr:spPr>
          <a:xfrm>
            <a:off x="11106148" y="2695574"/>
            <a:ext cx="1280160" cy="256764"/>
          </a:xfrm>
          <a:prstGeom prst="round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lIns="0" tIns="0" rIns="45720" bIns="0" rtlCol="0" anchor="ctr"/>
          <a:lstStyle/>
          <a:p>
            <a:pPr algn="r"/>
            <a:r>
              <a:rPr lang="en-US" sz="1100"/>
              <a:t>Refresh</a:t>
            </a:r>
            <a:r>
              <a:rPr lang="en-US" sz="1100" baseline="0"/>
              <a:t> Kanban</a:t>
            </a:r>
            <a:endParaRPr lang="en-US" sz="1100"/>
          </a:p>
        </xdr:txBody>
      </xdr:sp>
      <xdr:pic macro="[0]!Kanban_Refresh">
        <xdr:nvPicPr>
          <xdr:cNvPr id="424" name="Picture 423">
            <a:extLst>
              <a:ext uri="{FF2B5EF4-FFF2-40B4-BE49-F238E27FC236}">
                <a16:creationId xmlns:a16="http://schemas.microsoft.com/office/drawing/2014/main" id="{00000000-0008-0000-0100-0000A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134725" y="2727960"/>
            <a:ext cx="229496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498475</xdr:colOff>
      <xdr:row>11</xdr:row>
      <xdr:rowOff>117475</xdr:rowOff>
    </xdr:from>
    <xdr:to>
      <xdr:col>5</xdr:col>
      <xdr:colOff>125250</xdr:colOff>
      <xdr:row>11</xdr:row>
      <xdr:rowOff>412750</xdr:rowOff>
    </xdr:to>
    <xdr:grpSp>
      <xdr:nvGrpSpPr>
        <xdr:cNvPr id="177" name="Member1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GrpSpPr/>
      </xdr:nvGrpSpPr>
      <xdr:grpSpPr>
        <a:xfrm>
          <a:off x="3841750" y="2489200"/>
          <a:ext cx="1207925" cy="295275"/>
          <a:chOff x="2457451" y="2657475"/>
          <a:chExt cx="1207925" cy="295275"/>
        </a:xfrm>
      </xdr:grpSpPr>
      <xdr:sp macro="Member_Filter" textlink="">
        <xdr:nvSpPr>
          <xdr:cNvPr id="178" name="MembTab1">
            <a:extLst>
              <a:ext uri="{FF2B5EF4-FFF2-40B4-BE49-F238E27FC236}">
                <a16:creationId xmlns:a16="http://schemas.microsoft.com/office/drawing/2014/main" id="{00000000-0008-0000-0100-0000B2000000}"/>
              </a:ext>
            </a:extLst>
          </xdr:cNvPr>
          <xdr:cNvSpPr/>
        </xdr:nvSpPr>
        <xdr:spPr>
          <a:xfrm>
            <a:off x="2457451" y="2657475"/>
            <a:ext cx="1207925" cy="295275"/>
          </a:xfrm>
          <a:prstGeom prst="round2Same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wrap="none" lIns="292608" rtlCol="0" anchor="t">
            <a:spAutoFit/>
          </a:bodyPr>
          <a:lstStyle/>
          <a:p>
            <a:pPr algn="l"/>
            <a:r>
              <a:rPr lang="en-US" sz="1100"/>
              <a:t>Fred Fredders</a:t>
            </a:r>
          </a:p>
        </xdr:txBody>
      </xdr:sp>
      <xdr:sp macro="Member_Filter" textlink="">
        <xdr:nvSpPr>
          <xdr:cNvPr id="179" name="MembPic1">
            <a:extLst>
              <a:ext uri="{FF2B5EF4-FFF2-40B4-BE49-F238E27FC236}">
                <a16:creationId xmlns:a16="http://schemas.microsoft.com/office/drawing/2014/main" id="{00000000-0008-0000-0100-0000B3000000}"/>
              </a:ext>
            </a:extLst>
          </xdr:cNvPr>
          <xdr:cNvSpPr/>
        </xdr:nvSpPr>
        <xdr:spPr>
          <a:xfrm>
            <a:off x="2514599" y="2705100"/>
            <a:ext cx="201168" cy="201168"/>
          </a:xfrm>
          <a:prstGeom prst="ellipse">
            <a:avLst/>
          </a:prstGeom>
          <a:no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5</xdr:col>
      <xdr:colOff>137950</xdr:colOff>
      <xdr:row>11</xdr:row>
      <xdr:rowOff>117475</xdr:rowOff>
    </xdr:from>
    <xdr:to>
      <xdr:col>5</xdr:col>
      <xdr:colOff>1141624</xdr:colOff>
      <xdr:row>11</xdr:row>
      <xdr:rowOff>412750</xdr:rowOff>
    </xdr:to>
    <xdr:grpSp>
      <xdr:nvGrpSpPr>
        <xdr:cNvPr id="180" name="Member2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GrpSpPr/>
      </xdr:nvGrpSpPr>
      <xdr:grpSpPr>
        <a:xfrm>
          <a:off x="5062375" y="2489200"/>
          <a:ext cx="1003674" cy="295275"/>
          <a:chOff x="2457451" y="2657475"/>
          <a:chExt cx="1003674" cy="295275"/>
        </a:xfrm>
      </xdr:grpSpPr>
      <xdr:sp macro="Member_Filter" textlink="">
        <xdr:nvSpPr>
          <xdr:cNvPr id="181" name="MembTab2">
            <a:extLst>
              <a:ext uri="{FF2B5EF4-FFF2-40B4-BE49-F238E27FC236}">
                <a16:creationId xmlns:a16="http://schemas.microsoft.com/office/drawing/2014/main" id="{00000000-0008-0000-0100-0000B5000000}"/>
              </a:ext>
            </a:extLst>
          </xdr:cNvPr>
          <xdr:cNvSpPr/>
        </xdr:nvSpPr>
        <xdr:spPr>
          <a:xfrm>
            <a:off x="2457451" y="2657475"/>
            <a:ext cx="1003674" cy="295275"/>
          </a:xfrm>
          <a:prstGeom prst="round2Same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wrap="none" lIns="292608" rtlCol="0" anchor="t">
            <a:spAutoFit/>
          </a:bodyPr>
          <a:lstStyle/>
          <a:p>
            <a:pPr algn="l"/>
            <a:r>
              <a:rPr lang="en-US" sz="1100"/>
              <a:t>Lisa James</a:t>
            </a:r>
          </a:p>
        </xdr:txBody>
      </xdr:sp>
      <xdr:sp macro="Member_Filter" textlink="">
        <xdr:nvSpPr>
          <xdr:cNvPr id="182" name="MembPic2">
            <a:extLst>
              <a:ext uri="{FF2B5EF4-FFF2-40B4-BE49-F238E27FC236}">
                <a16:creationId xmlns:a16="http://schemas.microsoft.com/office/drawing/2014/main" id="{00000000-0008-0000-0100-0000B6000000}"/>
              </a:ext>
            </a:extLst>
          </xdr:cNvPr>
          <xdr:cNvSpPr/>
        </xdr:nvSpPr>
        <xdr:spPr>
          <a:xfrm>
            <a:off x="2514599" y="2705100"/>
            <a:ext cx="201168" cy="201168"/>
          </a:xfrm>
          <a:prstGeom prst="ellipse">
            <a:avLst/>
          </a:prstGeom>
          <a:no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5</xdr:col>
      <xdr:colOff>1154324</xdr:colOff>
      <xdr:row>11</xdr:row>
      <xdr:rowOff>117475</xdr:rowOff>
    </xdr:from>
    <xdr:to>
      <xdr:col>6</xdr:col>
      <xdr:colOff>735224</xdr:colOff>
      <xdr:row>11</xdr:row>
      <xdr:rowOff>412750</xdr:rowOff>
    </xdr:to>
    <xdr:grpSp>
      <xdr:nvGrpSpPr>
        <xdr:cNvPr id="183" name="Member3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GrpSpPr/>
      </xdr:nvGrpSpPr>
      <xdr:grpSpPr>
        <a:xfrm>
          <a:off x="6078749" y="2489200"/>
          <a:ext cx="1162050" cy="295275"/>
          <a:chOff x="2457451" y="2657475"/>
          <a:chExt cx="1162050" cy="295275"/>
        </a:xfrm>
      </xdr:grpSpPr>
      <xdr:sp macro="Member_Filter" textlink="">
        <xdr:nvSpPr>
          <xdr:cNvPr id="184" name="MembTab3">
            <a:extLst>
              <a:ext uri="{FF2B5EF4-FFF2-40B4-BE49-F238E27FC236}">
                <a16:creationId xmlns:a16="http://schemas.microsoft.com/office/drawing/2014/main" id="{00000000-0008-0000-0100-0000B8000000}"/>
              </a:ext>
            </a:extLst>
          </xdr:cNvPr>
          <xdr:cNvSpPr/>
        </xdr:nvSpPr>
        <xdr:spPr>
          <a:xfrm>
            <a:off x="2457451" y="2657475"/>
            <a:ext cx="1162050" cy="295275"/>
          </a:xfrm>
          <a:prstGeom prst="round2Same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wrap="none" lIns="292608" rtlCol="0" anchor="t">
            <a:spAutoFit/>
          </a:bodyPr>
          <a:lstStyle/>
          <a:p>
            <a:pPr algn="l"/>
            <a:r>
              <a:rPr lang="en-US" sz="1100"/>
              <a:t>Harold Banks</a:t>
            </a:r>
          </a:p>
        </xdr:txBody>
      </xdr:sp>
      <xdr:sp macro="Member_Filter" textlink="">
        <xdr:nvSpPr>
          <xdr:cNvPr id="185" name="MembPic3">
            <a:extLst>
              <a:ext uri="{FF2B5EF4-FFF2-40B4-BE49-F238E27FC236}">
                <a16:creationId xmlns:a16="http://schemas.microsoft.com/office/drawing/2014/main" id="{00000000-0008-0000-0100-0000B9000000}"/>
              </a:ext>
            </a:extLst>
          </xdr:cNvPr>
          <xdr:cNvSpPr/>
        </xdr:nvSpPr>
        <xdr:spPr>
          <a:xfrm>
            <a:off x="2514599" y="2705100"/>
            <a:ext cx="201168" cy="201168"/>
          </a:xfrm>
          <a:prstGeom prst="ellipse">
            <a:avLst/>
          </a:prstGeom>
          <a:no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6</xdr:col>
      <xdr:colOff>747924</xdr:colOff>
      <xdr:row>11</xdr:row>
      <xdr:rowOff>117475</xdr:rowOff>
    </xdr:from>
    <xdr:to>
      <xdr:col>7</xdr:col>
      <xdr:colOff>367640</xdr:colOff>
      <xdr:row>11</xdr:row>
      <xdr:rowOff>412750</xdr:rowOff>
    </xdr:to>
    <xdr:grpSp>
      <xdr:nvGrpSpPr>
        <xdr:cNvPr id="186" name="Member4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GrpSpPr/>
      </xdr:nvGrpSpPr>
      <xdr:grpSpPr>
        <a:xfrm>
          <a:off x="7253499" y="2489200"/>
          <a:ext cx="1200866" cy="295275"/>
          <a:chOff x="2457451" y="2657475"/>
          <a:chExt cx="1200866" cy="295275"/>
        </a:xfrm>
      </xdr:grpSpPr>
      <xdr:sp macro="Member_Filter" textlink="">
        <xdr:nvSpPr>
          <xdr:cNvPr id="187" name="MembTab4">
            <a:extLst>
              <a:ext uri="{FF2B5EF4-FFF2-40B4-BE49-F238E27FC236}">
                <a16:creationId xmlns:a16="http://schemas.microsoft.com/office/drawing/2014/main" id="{00000000-0008-0000-0100-0000BB000000}"/>
              </a:ext>
            </a:extLst>
          </xdr:cNvPr>
          <xdr:cNvSpPr/>
        </xdr:nvSpPr>
        <xdr:spPr>
          <a:xfrm>
            <a:off x="2457451" y="2657475"/>
            <a:ext cx="1200866" cy="295275"/>
          </a:xfrm>
          <a:prstGeom prst="round2Same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wrap="none" lIns="292608" rtlCol="0" anchor="t">
            <a:spAutoFit/>
          </a:bodyPr>
          <a:lstStyle/>
          <a:p>
            <a:pPr algn="l"/>
            <a:r>
              <a:rPr lang="en-US" sz="1100"/>
              <a:t>Mary Poppins</a:t>
            </a:r>
          </a:p>
        </xdr:txBody>
      </xdr:sp>
      <xdr:sp macro="Member_Filter" textlink="">
        <xdr:nvSpPr>
          <xdr:cNvPr id="188" name="MembPic4">
            <a:extLst>
              <a:ext uri="{FF2B5EF4-FFF2-40B4-BE49-F238E27FC236}">
                <a16:creationId xmlns:a16="http://schemas.microsoft.com/office/drawing/2014/main" id="{00000000-0008-0000-0100-0000BC000000}"/>
              </a:ext>
            </a:extLst>
          </xdr:cNvPr>
          <xdr:cNvSpPr/>
        </xdr:nvSpPr>
        <xdr:spPr>
          <a:xfrm>
            <a:off x="2514599" y="2705100"/>
            <a:ext cx="201168" cy="201168"/>
          </a:xfrm>
          <a:prstGeom prst="ellipse">
            <a:avLst/>
          </a:prstGeom>
          <a:no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5</xdr:col>
      <xdr:colOff>12699</xdr:colOff>
      <xdr:row>13</xdr:row>
      <xdr:rowOff>0</xdr:rowOff>
    </xdr:from>
    <xdr:to>
      <xdr:col>5</xdr:col>
      <xdr:colOff>1568449</xdr:colOff>
      <xdr:row>18</xdr:row>
      <xdr:rowOff>19050</xdr:rowOff>
    </xdr:to>
    <xdr:grpSp>
      <xdr:nvGrpSpPr>
        <xdr:cNvPr id="195" name="TaskCard1"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GrpSpPr/>
      </xdr:nvGrpSpPr>
      <xdr:grpSpPr>
        <a:xfrm>
          <a:off x="4937124" y="3000375"/>
          <a:ext cx="1555750" cy="971550"/>
          <a:chOff x="3419475" y="3048000"/>
          <a:chExt cx="1421055" cy="971550"/>
        </a:xfrm>
      </xdr:grpSpPr>
      <xdr:sp macro="[0]!Kanban_SelectTask" textlink="">
        <xdr:nvSpPr>
          <xdr:cNvPr id="196" name="CardBack1">
            <a:extLst>
              <a:ext uri="{FF2B5EF4-FFF2-40B4-BE49-F238E27FC236}">
                <a16:creationId xmlns:a16="http://schemas.microsoft.com/office/drawing/2014/main" id="{00000000-0008-0000-0100-0000C4000000}"/>
              </a:ext>
            </a:extLst>
          </xdr:cNvPr>
          <xdr:cNvSpPr/>
        </xdr:nvSpPr>
        <xdr:spPr>
          <a:xfrm>
            <a:off x="3419475" y="3048000"/>
            <a:ext cx="1419225" cy="962025"/>
          </a:xfrm>
          <a:prstGeom prst="snip1Rect">
            <a:avLst/>
          </a:prstGeom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lIns="45720" tIns="0" bIns="0" rtlCol="0" anchor="t"/>
          <a:lstStyle/>
          <a:p>
            <a:pPr algn="l"/>
            <a:r>
              <a:rPr lang="en-US" sz="1100" b="0" baseline="0"/>
              <a:t>Site Scope</a:t>
            </a:r>
          </a:p>
          <a:p>
            <a:pPr algn="l"/>
            <a:r>
              <a:rPr lang="en-US" sz="1100" b="0" baseline="0"/>
              <a:t>Fredders Website</a:t>
            </a:r>
          </a:p>
          <a:p>
            <a:pPr algn="l"/>
            <a:r>
              <a:rPr lang="en-US" sz="1100" b="0" baseline="0"/>
              <a:t>Development</a:t>
            </a:r>
          </a:p>
        </xdr:txBody>
      </xdr:sp>
      <xdr:sp macro="" textlink="">
        <xdr:nvSpPr>
          <xdr:cNvPr id="197" name="CardMembPic">
            <a:extLst>
              <a:ext uri="{FF2B5EF4-FFF2-40B4-BE49-F238E27FC236}">
                <a16:creationId xmlns:a16="http://schemas.microsoft.com/office/drawing/2014/main" id="{00000000-0008-0000-0100-0000C5000000}"/>
              </a:ext>
            </a:extLst>
          </xdr:cNvPr>
          <xdr:cNvSpPr/>
        </xdr:nvSpPr>
        <xdr:spPr>
          <a:xfrm>
            <a:off x="3438525" y="3800475"/>
            <a:ext cx="201168" cy="201168"/>
          </a:xfrm>
          <a:prstGeom prst="ellipse">
            <a:avLst/>
          </a:prstGeom>
          <a:no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8" name="CardMembName">
            <a:extLst>
              <a:ext uri="{FF2B5EF4-FFF2-40B4-BE49-F238E27FC236}">
                <a16:creationId xmlns:a16="http://schemas.microsoft.com/office/drawing/2014/main" id="{00000000-0008-0000-0100-0000C6000000}"/>
              </a:ext>
            </a:extLst>
          </xdr:cNvPr>
          <xdr:cNvSpPr txBox="1"/>
        </xdr:nvSpPr>
        <xdr:spPr>
          <a:xfrm>
            <a:off x="3648075" y="3790950"/>
            <a:ext cx="10191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100"/>
              <a:t>Fred Fredders</a:t>
            </a:r>
          </a:p>
        </xdr:txBody>
      </xdr:sp>
      <xdr:sp macro="[0]!Kanban_MoveCard" textlink="">
        <xdr:nvSpPr>
          <xdr:cNvPr id="199" name="MoveCardBtn1">
            <a:extLst>
              <a:ext uri="{FF2B5EF4-FFF2-40B4-BE49-F238E27FC236}">
                <a16:creationId xmlns:a16="http://schemas.microsoft.com/office/drawing/2014/main" id="{00000000-0008-0000-0100-0000C7000000}"/>
              </a:ext>
            </a:extLst>
          </xdr:cNvPr>
          <xdr:cNvSpPr/>
        </xdr:nvSpPr>
        <xdr:spPr>
          <a:xfrm>
            <a:off x="4589977" y="3082344"/>
            <a:ext cx="165724" cy="182880"/>
          </a:xfrm>
          <a:prstGeom prst="rightArrow">
            <a:avLst/>
          </a:prstGeom>
          <a:ln/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Task_Display">
        <xdr:nvPicPr>
          <xdr:cNvPr id="200" name="ViewCardBtn1">
            <a:extLst>
              <a:ext uri="{FF2B5EF4-FFF2-40B4-BE49-F238E27FC236}">
                <a16:creationId xmlns:a16="http://schemas.microsoft.com/office/drawing/2014/main" id="{00000000-0008-0000-0100-0000C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57650" y="3809925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12699</xdr:colOff>
      <xdr:row>13</xdr:row>
      <xdr:rowOff>0</xdr:rowOff>
    </xdr:from>
    <xdr:to>
      <xdr:col>9</xdr:col>
      <xdr:colOff>1568449</xdr:colOff>
      <xdr:row>18</xdr:row>
      <xdr:rowOff>19050</xdr:rowOff>
    </xdr:to>
    <xdr:grpSp>
      <xdr:nvGrpSpPr>
        <xdr:cNvPr id="201" name="TaskCard5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GrpSpPr/>
      </xdr:nvGrpSpPr>
      <xdr:grpSpPr>
        <a:xfrm>
          <a:off x="11261724" y="3000375"/>
          <a:ext cx="1555750" cy="971550"/>
          <a:chOff x="3419475" y="3048000"/>
          <a:chExt cx="1421055" cy="971550"/>
        </a:xfrm>
      </xdr:grpSpPr>
      <xdr:sp macro="[0]!Kanban_SelectTask" textlink="">
        <xdr:nvSpPr>
          <xdr:cNvPr id="202" name="CardBack5">
            <a:extLst>
              <a:ext uri="{FF2B5EF4-FFF2-40B4-BE49-F238E27FC236}">
                <a16:creationId xmlns:a16="http://schemas.microsoft.com/office/drawing/2014/main" id="{00000000-0008-0000-0100-0000CA000000}"/>
              </a:ext>
            </a:extLst>
          </xdr:cNvPr>
          <xdr:cNvSpPr/>
        </xdr:nvSpPr>
        <xdr:spPr>
          <a:xfrm>
            <a:off x="3419475" y="3048000"/>
            <a:ext cx="1419225" cy="962025"/>
          </a:xfrm>
          <a:prstGeom prst="snip1Rect">
            <a:avLst/>
          </a:prstGeom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lIns="45720" tIns="0" bIns="0" rtlCol="0" anchor="t"/>
          <a:lstStyle/>
          <a:p>
            <a:pPr algn="l"/>
            <a:r>
              <a:rPr lang="en-US" sz="1100" b="0" baseline="0"/>
              <a:t>Client Meeting</a:t>
            </a:r>
          </a:p>
          <a:p>
            <a:pPr algn="l"/>
            <a:r>
              <a:rPr lang="en-US" sz="1100" b="0" baseline="0"/>
              <a:t>Fredders Website</a:t>
            </a:r>
          </a:p>
          <a:p>
            <a:pPr algn="l"/>
            <a:r>
              <a:rPr lang="en-US" sz="1100" b="0" baseline="0"/>
              <a:t>Meeting</a:t>
            </a:r>
          </a:p>
        </xdr:txBody>
      </xdr:sp>
      <xdr:sp macro="" textlink="">
        <xdr:nvSpPr>
          <xdr:cNvPr id="203" name="CardMembPic">
            <a:extLst>
              <a:ext uri="{FF2B5EF4-FFF2-40B4-BE49-F238E27FC236}">
                <a16:creationId xmlns:a16="http://schemas.microsoft.com/office/drawing/2014/main" id="{00000000-0008-0000-0100-0000CB000000}"/>
              </a:ext>
            </a:extLst>
          </xdr:cNvPr>
          <xdr:cNvSpPr/>
        </xdr:nvSpPr>
        <xdr:spPr>
          <a:xfrm>
            <a:off x="3438525" y="3800475"/>
            <a:ext cx="201168" cy="201168"/>
          </a:xfrm>
          <a:prstGeom prst="ellipse">
            <a:avLst/>
          </a:prstGeom>
          <a:no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4" name="CardMembName">
            <a:extLst>
              <a:ext uri="{FF2B5EF4-FFF2-40B4-BE49-F238E27FC236}">
                <a16:creationId xmlns:a16="http://schemas.microsoft.com/office/drawing/2014/main" id="{00000000-0008-0000-0100-0000CC000000}"/>
              </a:ext>
            </a:extLst>
          </xdr:cNvPr>
          <xdr:cNvSpPr txBox="1"/>
        </xdr:nvSpPr>
        <xdr:spPr>
          <a:xfrm>
            <a:off x="3648075" y="3790950"/>
            <a:ext cx="10191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100"/>
              <a:t>Fred Fredders</a:t>
            </a:r>
          </a:p>
        </xdr:txBody>
      </xdr:sp>
      <xdr:sp macro="[0]!Kanban_MoveCard" textlink="">
        <xdr:nvSpPr>
          <xdr:cNvPr id="205" name="MoveCardBtn5">
            <a:extLst>
              <a:ext uri="{FF2B5EF4-FFF2-40B4-BE49-F238E27FC236}">
                <a16:creationId xmlns:a16="http://schemas.microsoft.com/office/drawing/2014/main" id="{00000000-0008-0000-0100-0000CD000000}"/>
              </a:ext>
            </a:extLst>
          </xdr:cNvPr>
          <xdr:cNvSpPr/>
        </xdr:nvSpPr>
        <xdr:spPr>
          <a:xfrm>
            <a:off x="4589977" y="3082344"/>
            <a:ext cx="165724" cy="182880"/>
          </a:xfrm>
          <a:prstGeom prst="rightArrow">
            <a:avLst/>
          </a:prstGeom>
          <a:ln/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Task_Display">
        <xdr:nvPicPr>
          <xdr:cNvPr id="206" name="ViewCardBtn5">
            <a:extLst>
              <a:ext uri="{FF2B5EF4-FFF2-40B4-BE49-F238E27FC236}">
                <a16:creationId xmlns:a16="http://schemas.microsoft.com/office/drawing/2014/main" id="{00000000-0008-0000-0100-0000C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57650" y="3809925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12699</xdr:colOff>
      <xdr:row>13</xdr:row>
      <xdr:rowOff>0</xdr:rowOff>
    </xdr:from>
    <xdr:to>
      <xdr:col>6</xdr:col>
      <xdr:colOff>1568449</xdr:colOff>
      <xdr:row>18</xdr:row>
      <xdr:rowOff>19050</xdr:rowOff>
    </xdr:to>
    <xdr:grpSp>
      <xdr:nvGrpSpPr>
        <xdr:cNvPr id="207" name="TaskCard9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GrpSpPr/>
      </xdr:nvGrpSpPr>
      <xdr:grpSpPr>
        <a:xfrm>
          <a:off x="6518274" y="3000375"/>
          <a:ext cx="1555750" cy="971550"/>
          <a:chOff x="3419475" y="3048000"/>
          <a:chExt cx="1421055" cy="971550"/>
        </a:xfrm>
      </xdr:grpSpPr>
      <xdr:sp macro="[0]!Kanban_SelectTask" textlink="">
        <xdr:nvSpPr>
          <xdr:cNvPr id="208" name="CardBack9">
            <a:extLst>
              <a:ext uri="{FF2B5EF4-FFF2-40B4-BE49-F238E27FC236}">
                <a16:creationId xmlns:a16="http://schemas.microsoft.com/office/drawing/2014/main" id="{00000000-0008-0000-0100-0000D0000000}"/>
              </a:ext>
            </a:extLst>
          </xdr:cNvPr>
          <xdr:cNvSpPr/>
        </xdr:nvSpPr>
        <xdr:spPr>
          <a:xfrm>
            <a:off x="3419475" y="3048000"/>
            <a:ext cx="1419225" cy="962025"/>
          </a:xfrm>
          <a:prstGeom prst="snip1Rect">
            <a:avLst/>
          </a:prstGeom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lIns="45720" tIns="0" bIns="0" rtlCol="0" anchor="t"/>
          <a:lstStyle/>
          <a:p>
            <a:pPr algn="l"/>
            <a:r>
              <a:rPr lang="en-US" sz="1100" b="0" baseline="0"/>
              <a:t>Design Screen</a:t>
            </a:r>
          </a:p>
          <a:p>
            <a:pPr algn="l"/>
            <a:r>
              <a:rPr lang="en-US" sz="1100" b="0" baseline="0"/>
              <a:t>Fredders Website</a:t>
            </a:r>
          </a:p>
          <a:p>
            <a:pPr algn="l"/>
            <a:r>
              <a:rPr lang="en-US" sz="1100" b="0" baseline="0"/>
              <a:t>Release</a:t>
            </a:r>
          </a:p>
        </xdr:txBody>
      </xdr:sp>
      <xdr:sp macro="" textlink="">
        <xdr:nvSpPr>
          <xdr:cNvPr id="209" name="CardMembPic">
            <a:extLst>
              <a:ext uri="{FF2B5EF4-FFF2-40B4-BE49-F238E27FC236}">
                <a16:creationId xmlns:a16="http://schemas.microsoft.com/office/drawing/2014/main" id="{00000000-0008-0000-0100-0000D1000000}"/>
              </a:ext>
            </a:extLst>
          </xdr:cNvPr>
          <xdr:cNvSpPr/>
        </xdr:nvSpPr>
        <xdr:spPr>
          <a:xfrm>
            <a:off x="3438525" y="3800475"/>
            <a:ext cx="201168" cy="201168"/>
          </a:xfrm>
          <a:prstGeom prst="ellipse">
            <a:avLst/>
          </a:prstGeom>
          <a:no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0" name="CardMembName">
            <a:extLst>
              <a:ext uri="{FF2B5EF4-FFF2-40B4-BE49-F238E27FC236}">
                <a16:creationId xmlns:a16="http://schemas.microsoft.com/office/drawing/2014/main" id="{00000000-0008-0000-0100-0000D2000000}"/>
              </a:ext>
            </a:extLst>
          </xdr:cNvPr>
          <xdr:cNvSpPr txBox="1"/>
        </xdr:nvSpPr>
        <xdr:spPr>
          <a:xfrm>
            <a:off x="3648075" y="3790950"/>
            <a:ext cx="10191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100"/>
              <a:t>Fred Fredders</a:t>
            </a:r>
          </a:p>
        </xdr:txBody>
      </xdr:sp>
      <xdr:sp macro="[0]!Kanban_MoveCard" textlink="">
        <xdr:nvSpPr>
          <xdr:cNvPr id="211" name="MoveCardBtn9">
            <a:extLst>
              <a:ext uri="{FF2B5EF4-FFF2-40B4-BE49-F238E27FC236}">
                <a16:creationId xmlns:a16="http://schemas.microsoft.com/office/drawing/2014/main" id="{00000000-0008-0000-0100-0000D3000000}"/>
              </a:ext>
            </a:extLst>
          </xdr:cNvPr>
          <xdr:cNvSpPr/>
        </xdr:nvSpPr>
        <xdr:spPr>
          <a:xfrm>
            <a:off x="4589977" y="3082344"/>
            <a:ext cx="165724" cy="182880"/>
          </a:xfrm>
          <a:prstGeom prst="rightArrow">
            <a:avLst/>
          </a:prstGeom>
          <a:ln/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Task_Display">
        <xdr:nvPicPr>
          <xdr:cNvPr id="212" name="ViewCardBtn9">
            <a:extLst>
              <a:ext uri="{FF2B5EF4-FFF2-40B4-BE49-F238E27FC236}">
                <a16:creationId xmlns:a16="http://schemas.microsoft.com/office/drawing/2014/main" id="{00000000-0008-0000-0100-0000D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57650" y="3809925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12699</xdr:colOff>
      <xdr:row>13</xdr:row>
      <xdr:rowOff>0</xdr:rowOff>
    </xdr:from>
    <xdr:to>
      <xdr:col>7</xdr:col>
      <xdr:colOff>1568449</xdr:colOff>
      <xdr:row>18</xdr:row>
      <xdr:rowOff>19050</xdr:rowOff>
    </xdr:to>
    <xdr:grpSp>
      <xdr:nvGrpSpPr>
        <xdr:cNvPr id="213" name="TaskCard15">
          <a:extLs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GrpSpPr/>
      </xdr:nvGrpSpPr>
      <xdr:grpSpPr>
        <a:xfrm>
          <a:off x="8099424" y="3000375"/>
          <a:ext cx="1555750" cy="971550"/>
          <a:chOff x="3419475" y="3048000"/>
          <a:chExt cx="1421055" cy="971550"/>
        </a:xfrm>
      </xdr:grpSpPr>
      <xdr:sp macro="[0]!Kanban_SelectTask" textlink="">
        <xdr:nvSpPr>
          <xdr:cNvPr id="214" name="CardBack15">
            <a:extLst>
              <a:ext uri="{FF2B5EF4-FFF2-40B4-BE49-F238E27FC236}">
                <a16:creationId xmlns:a16="http://schemas.microsoft.com/office/drawing/2014/main" id="{00000000-0008-0000-0100-0000D6000000}"/>
              </a:ext>
            </a:extLst>
          </xdr:cNvPr>
          <xdr:cNvSpPr/>
        </xdr:nvSpPr>
        <xdr:spPr>
          <a:xfrm>
            <a:off x="3419475" y="3048000"/>
            <a:ext cx="1419225" cy="962025"/>
          </a:xfrm>
          <a:prstGeom prst="snip1Rect">
            <a:avLst/>
          </a:prstGeom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lIns="45720" tIns="0" bIns="0" rtlCol="0" anchor="t"/>
          <a:lstStyle/>
          <a:p>
            <a:pPr algn="l"/>
            <a:r>
              <a:rPr lang="en-US" sz="1100" b="0" baseline="0"/>
              <a:t>Design Email</a:t>
            </a:r>
          </a:p>
          <a:p>
            <a:pPr algn="l"/>
            <a:r>
              <a:rPr lang="en-US" sz="1100" b="0" baseline="0"/>
              <a:t>Franklin Site Design</a:t>
            </a:r>
          </a:p>
          <a:p>
            <a:pPr algn="l"/>
            <a:r>
              <a:rPr lang="en-US" sz="1100" b="0" baseline="0"/>
              <a:t>Release</a:t>
            </a:r>
          </a:p>
        </xdr:txBody>
      </xdr:sp>
      <xdr:sp macro="" textlink="">
        <xdr:nvSpPr>
          <xdr:cNvPr id="215" name="CardMembPic">
            <a:extLst>
              <a:ext uri="{FF2B5EF4-FFF2-40B4-BE49-F238E27FC236}">
                <a16:creationId xmlns:a16="http://schemas.microsoft.com/office/drawing/2014/main" id="{00000000-0008-0000-0100-0000D7000000}"/>
              </a:ext>
            </a:extLst>
          </xdr:cNvPr>
          <xdr:cNvSpPr/>
        </xdr:nvSpPr>
        <xdr:spPr>
          <a:xfrm>
            <a:off x="3438525" y="3800475"/>
            <a:ext cx="201168" cy="201168"/>
          </a:xfrm>
          <a:prstGeom prst="ellipse">
            <a:avLst/>
          </a:prstGeom>
          <a:no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6" name="CardMembName">
            <a:extLst>
              <a:ext uri="{FF2B5EF4-FFF2-40B4-BE49-F238E27FC236}">
                <a16:creationId xmlns:a16="http://schemas.microsoft.com/office/drawing/2014/main" id="{00000000-0008-0000-0100-0000D8000000}"/>
              </a:ext>
            </a:extLst>
          </xdr:cNvPr>
          <xdr:cNvSpPr txBox="1"/>
        </xdr:nvSpPr>
        <xdr:spPr>
          <a:xfrm>
            <a:off x="3648075" y="3790950"/>
            <a:ext cx="10191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100"/>
              <a:t>Harold Banks</a:t>
            </a:r>
          </a:p>
        </xdr:txBody>
      </xdr:sp>
      <xdr:sp macro="[0]!Kanban_MoveCard" textlink="">
        <xdr:nvSpPr>
          <xdr:cNvPr id="217" name="MoveCardBtn15">
            <a:extLst>
              <a:ext uri="{FF2B5EF4-FFF2-40B4-BE49-F238E27FC236}">
                <a16:creationId xmlns:a16="http://schemas.microsoft.com/office/drawing/2014/main" id="{00000000-0008-0000-0100-0000D9000000}"/>
              </a:ext>
            </a:extLst>
          </xdr:cNvPr>
          <xdr:cNvSpPr/>
        </xdr:nvSpPr>
        <xdr:spPr>
          <a:xfrm>
            <a:off x="4589977" y="3082344"/>
            <a:ext cx="165724" cy="182880"/>
          </a:xfrm>
          <a:prstGeom prst="rightArrow">
            <a:avLst/>
          </a:prstGeom>
          <a:ln/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Task_Display">
        <xdr:nvPicPr>
          <xdr:cNvPr id="218" name="ViewCardBtn15">
            <a:extLst>
              <a:ext uri="{FF2B5EF4-FFF2-40B4-BE49-F238E27FC236}">
                <a16:creationId xmlns:a16="http://schemas.microsoft.com/office/drawing/2014/main" id="{00000000-0008-0000-0100-0000D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57650" y="3809925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12699</xdr:colOff>
      <xdr:row>13</xdr:row>
      <xdr:rowOff>0</xdr:rowOff>
    </xdr:from>
    <xdr:to>
      <xdr:col>4</xdr:col>
      <xdr:colOff>1568449</xdr:colOff>
      <xdr:row>18</xdr:row>
      <xdr:rowOff>19050</xdr:rowOff>
    </xdr:to>
    <xdr:grpSp>
      <xdr:nvGrpSpPr>
        <xdr:cNvPr id="219" name="TaskCard19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GrpSpPr/>
      </xdr:nvGrpSpPr>
      <xdr:grpSpPr>
        <a:xfrm>
          <a:off x="3355974" y="3000375"/>
          <a:ext cx="1555750" cy="971550"/>
          <a:chOff x="3419475" y="3048000"/>
          <a:chExt cx="1421055" cy="971550"/>
        </a:xfrm>
      </xdr:grpSpPr>
      <xdr:sp macro="[0]!Kanban_SelectTask" textlink="">
        <xdr:nvSpPr>
          <xdr:cNvPr id="220" name="CardBack19">
            <a:extLst>
              <a:ext uri="{FF2B5EF4-FFF2-40B4-BE49-F238E27FC236}">
                <a16:creationId xmlns:a16="http://schemas.microsoft.com/office/drawing/2014/main" id="{00000000-0008-0000-0100-0000DC000000}"/>
              </a:ext>
            </a:extLst>
          </xdr:cNvPr>
          <xdr:cNvSpPr/>
        </xdr:nvSpPr>
        <xdr:spPr>
          <a:xfrm>
            <a:off x="3419475" y="3048000"/>
            <a:ext cx="1419225" cy="962025"/>
          </a:xfrm>
          <a:prstGeom prst="snip1Rect">
            <a:avLst/>
          </a:prstGeom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lIns="45720" tIns="0" bIns="0" rtlCol="0" anchor="t"/>
          <a:lstStyle/>
          <a:p>
            <a:pPr algn="l"/>
            <a:r>
              <a:rPr lang="en-US" sz="1100" b="0" baseline="0"/>
              <a:t>Screen Release</a:t>
            </a:r>
          </a:p>
          <a:p>
            <a:pPr algn="l"/>
            <a:r>
              <a:rPr lang="en-US" sz="1100" b="0" baseline="0"/>
              <a:t>Franklin Site Design</a:t>
            </a:r>
          </a:p>
          <a:p>
            <a:pPr algn="l"/>
            <a:r>
              <a:rPr lang="en-US" sz="1100" b="0" baseline="0"/>
              <a:t>Design</a:t>
            </a:r>
          </a:p>
        </xdr:txBody>
      </xdr:sp>
      <xdr:sp macro="" textlink="">
        <xdr:nvSpPr>
          <xdr:cNvPr id="221" name="CardMembPic">
            <a:extLst>
              <a:ext uri="{FF2B5EF4-FFF2-40B4-BE49-F238E27FC236}">
                <a16:creationId xmlns:a16="http://schemas.microsoft.com/office/drawing/2014/main" id="{00000000-0008-0000-0100-0000DD000000}"/>
              </a:ext>
            </a:extLst>
          </xdr:cNvPr>
          <xdr:cNvSpPr/>
        </xdr:nvSpPr>
        <xdr:spPr>
          <a:xfrm>
            <a:off x="3438525" y="3800475"/>
            <a:ext cx="201168" cy="201168"/>
          </a:xfrm>
          <a:prstGeom prst="ellipse">
            <a:avLst/>
          </a:prstGeom>
          <a:no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2" name="CardMembName">
            <a:extLst>
              <a:ext uri="{FF2B5EF4-FFF2-40B4-BE49-F238E27FC236}">
                <a16:creationId xmlns:a16="http://schemas.microsoft.com/office/drawing/2014/main" id="{00000000-0008-0000-0100-0000DE000000}"/>
              </a:ext>
            </a:extLst>
          </xdr:cNvPr>
          <xdr:cNvSpPr txBox="1"/>
        </xdr:nvSpPr>
        <xdr:spPr>
          <a:xfrm>
            <a:off x="3648075" y="3790950"/>
            <a:ext cx="10191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100"/>
              <a:t>Harold Banks</a:t>
            </a:r>
          </a:p>
        </xdr:txBody>
      </xdr:sp>
      <xdr:sp macro="[0]!Kanban_MoveCard" textlink="">
        <xdr:nvSpPr>
          <xdr:cNvPr id="223" name="MoveCardBtn19">
            <a:extLst>
              <a:ext uri="{FF2B5EF4-FFF2-40B4-BE49-F238E27FC236}">
                <a16:creationId xmlns:a16="http://schemas.microsoft.com/office/drawing/2014/main" id="{00000000-0008-0000-0100-0000DF000000}"/>
              </a:ext>
            </a:extLst>
          </xdr:cNvPr>
          <xdr:cNvSpPr/>
        </xdr:nvSpPr>
        <xdr:spPr>
          <a:xfrm>
            <a:off x="4589977" y="3082344"/>
            <a:ext cx="165724" cy="182880"/>
          </a:xfrm>
          <a:prstGeom prst="rightArrow">
            <a:avLst/>
          </a:prstGeom>
          <a:ln/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Task_Display">
        <xdr:nvPicPr>
          <xdr:cNvPr id="224" name="ViewCardBtn19">
            <a:extLst>
              <a:ext uri="{FF2B5EF4-FFF2-40B4-BE49-F238E27FC236}">
                <a16:creationId xmlns:a16="http://schemas.microsoft.com/office/drawing/2014/main" id="{00000000-0008-0000-0100-0000E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57650" y="3809925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12699</xdr:colOff>
      <xdr:row>18</xdr:row>
      <xdr:rowOff>44450</xdr:rowOff>
    </xdr:from>
    <xdr:to>
      <xdr:col>6</xdr:col>
      <xdr:colOff>1568449</xdr:colOff>
      <xdr:row>23</xdr:row>
      <xdr:rowOff>63500</xdr:rowOff>
    </xdr:to>
    <xdr:grpSp>
      <xdr:nvGrpSpPr>
        <xdr:cNvPr id="225" name="TaskCard2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GrpSpPr/>
      </xdr:nvGrpSpPr>
      <xdr:grpSpPr>
        <a:xfrm>
          <a:off x="6518274" y="3997325"/>
          <a:ext cx="1555750" cy="971550"/>
          <a:chOff x="3419475" y="3048000"/>
          <a:chExt cx="1421055" cy="971550"/>
        </a:xfrm>
      </xdr:grpSpPr>
      <xdr:sp macro="[0]!Kanban_SelectTask" textlink="">
        <xdr:nvSpPr>
          <xdr:cNvPr id="226" name="CardBack2">
            <a:extLst>
              <a:ext uri="{FF2B5EF4-FFF2-40B4-BE49-F238E27FC236}">
                <a16:creationId xmlns:a16="http://schemas.microsoft.com/office/drawing/2014/main" id="{00000000-0008-0000-0100-0000E2000000}"/>
              </a:ext>
            </a:extLst>
          </xdr:cNvPr>
          <xdr:cNvSpPr/>
        </xdr:nvSpPr>
        <xdr:spPr>
          <a:xfrm>
            <a:off x="3419475" y="3048000"/>
            <a:ext cx="1419225" cy="962025"/>
          </a:xfrm>
          <a:prstGeom prst="snip1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lIns="45720" tIns="0" bIns="0" rtlCol="0" anchor="t"/>
          <a:lstStyle/>
          <a:p>
            <a:pPr algn="l"/>
            <a:r>
              <a:rPr lang="en-US" sz="1100" b="0" baseline="0"/>
              <a:t>App Scope</a:t>
            </a:r>
          </a:p>
          <a:p>
            <a:pPr algn="l"/>
            <a:r>
              <a:rPr lang="en-US" sz="1100" b="0" baseline="0"/>
              <a:t>Johns Custom App</a:t>
            </a:r>
          </a:p>
          <a:p>
            <a:pPr algn="l"/>
            <a:r>
              <a:rPr lang="en-US" sz="1100" b="0" baseline="0"/>
              <a:t>Development</a:t>
            </a:r>
          </a:p>
        </xdr:txBody>
      </xdr:sp>
      <xdr:sp macro="" textlink="">
        <xdr:nvSpPr>
          <xdr:cNvPr id="227" name="CardMembPic">
            <a:extLst>
              <a:ext uri="{FF2B5EF4-FFF2-40B4-BE49-F238E27FC236}">
                <a16:creationId xmlns:a16="http://schemas.microsoft.com/office/drawing/2014/main" id="{00000000-0008-0000-0100-0000E3000000}"/>
              </a:ext>
            </a:extLst>
          </xdr:cNvPr>
          <xdr:cNvSpPr/>
        </xdr:nvSpPr>
        <xdr:spPr>
          <a:xfrm>
            <a:off x="3438525" y="3800475"/>
            <a:ext cx="201168" cy="201168"/>
          </a:xfrm>
          <a:prstGeom prst="ellipse">
            <a:avLst/>
          </a:prstGeom>
          <a:no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8" name="CardMembName">
            <a:extLst>
              <a:ext uri="{FF2B5EF4-FFF2-40B4-BE49-F238E27FC236}">
                <a16:creationId xmlns:a16="http://schemas.microsoft.com/office/drawing/2014/main" id="{00000000-0008-0000-0100-0000E4000000}"/>
              </a:ext>
            </a:extLst>
          </xdr:cNvPr>
          <xdr:cNvSpPr txBox="1"/>
        </xdr:nvSpPr>
        <xdr:spPr>
          <a:xfrm>
            <a:off x="3648075" y="3790950"/>
            <a:ext cx="10191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100"/>
              <a:t>Lisa James</a:t>
            </a:r>
          </a:p>
        </xdr:txBody>
      </xdr:sp>
      <xdr:sp macro="[0]!Kanban_MoveCard" textlink="">
        <xdr:nvSpPr>
          <xdr:cNvPr id="229" name="MoveCardBtn2">
            <a:extLst>
              <a:ext uri="{FF2B5EF4-FFF2-40B4-BE49-F238E27FC236}">
                <a16:creationId xmlns:a16="http://schemas.microsoft.com/office/drawing/2014/main" id="{00000000-0008-0000-0100-0000E5000000}"/>
              </a:ext>
            </a:extLst>
          </xdr:cNvPr>
          <xdr:cNvSpPr/>
        </xdr:nvSpPr>
        <xdr:spPr>
          <a:xfrm>
            <a:off x="4589977" y="3082344"/>
            <a:ext cx="165724" cy="182880"/>
          </a:xfrm>
          <a:prstGeom prst="rightArrow">
            <a:avLst/>
          </a:prstGeom>
          <a:ln/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Task_Display">
        <xdr:nvPicPr>
          <xdr:cNvPr id="230" name="ViewCardBtn2">
            <a:extLst>
              <a:ext uri="{FF2B5EF4-FFF2-40B4-BE49-F238E27FC236}">
                <a16:creationId xmlns:a16="http://schemas.microsoft.com/office/drawing/2014/main" id="{00000000-0008-0000-0100-0000E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57650" y="3809925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12699</xdr:colOff>
      <xdr:row>13</xdr:row>
      <xdr:rowOff>0</xdr:rowOff>
    </xdr:from>
    <xdr:to>
      <xdr:col>8</xdr:col>
      <xdr:colOff>1568449</xdr:colOff>
      <xdr:row>18</xdr:row>
      <xdr:rowOff>19050</xdr:rowOff>
    </xdr:to>
    <xdr:grpSp>
      <xdr:nvGrpSpPr>
        <xdr:cNvPr id="231" name="TaskCard6">
          <a:extLst>
            <a:ext uri="{FF2B5EF4-FFF2-40B4-BE49-F238E27FC236}">
              <a16:creationId xmlns:a16="http://schemas.microsoft.com/office/drawing/2014/main" id="{00000000-0008-0000-0100-0000E7000000}"/>
            </a:ext>
          </a:extLst>
        </xdr:cNvPr>
        <xdr:cNvGrpSpPr/>
      </xdr:nvGrpSpPr>
      <xdr:grpSpPr>
        <a:xfrm>
          <a:off x="9680574" y="3000375"/>
          <a:ext cx="1555750" cy="971550"/>
          <a:chOff x="3419475" y="3048000"/>
          <a:chExt cx="1421055" cy="971550"/>
        </a:xfrm>
      </xdr:grpSpPr>
      <xdr:sp macro="[0]!Kanban_SelectTask" textlink="">
        <xdr:nvSpPr>
          <xdr:cNvPr id="232" name="CardBack6">
            <a:extLst>
              <a:ext uri="{FF2B5EF4-FFF2-40B4-BE49-F238E27FC236}">
                <a16:creationId xmlns:a16="http://schemas.microsoft.com/office/drawing/2014/main" id="{00000000-0008-0000-0100-0000E8000000}"/>
              </a:ext>
            </a:extLst>
          </xdr:cNvPr>
          <xdr:cNvSpPr/>
        </xdr:nvSpPr>
        <xdr:spPr>
          <a:xfrm>
            <a:off x="3419475" y="3048000"/>
            <a:ext cx="1419225" cy="962025"/>
          </a:xfrm>
          <a:prstGeom prst="snip1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lIns="45720" tIns="0" bIns="0" rtlCol="0" anchor="t"/>
          <a:lstStyle/>
          <a:p>
            <a:pPr algn="l"/>
            <a:r>
              <a:rPr lang="en-US" sz="1100" b="0" baseline="0"/>
              <a:t>Project Scope</a:t>
            </a:r>
          </a:p>
          <a:p>
            <a:pPr algn="l"/>
            <a:r>
              <a:rPr lang="en-US" sz="1100" b="0" baseline="0"/>
              <a:t>Johns Custom App</a:t>
            </a:r>
          </a:p>
          <a:p>
            <a:pPr algn="l"/>
            <a:r>
              <a:rPr lang="en-US" sz="1100" b="0" baseline="0"/>
              <a:t>Call</a:t>
            </a:r>
          </a:p>
        </xdr:txBody>
      </xdr:sp>
      <xdr:sp macro="" textlink="">
        <xdr:nvSpPr>
          <xdr:cNvPr id="233" name="CardMembPic">
            <a:extLst>
              <a:ext uri="{FF2B5EF4-FFF2-40B4-BE49-F238E27FC236}">
                <a16:creationId xmlns:a16="http://schemas.microsoft.com/office/drawing/2014/main" id="{00000000-0008-0000-0100-0000E9000000}"/>
              </a:ext>
            </a:extLst>
          </xdr:cNvPr>
          <xdr:cNvSpPr/>
        </xdr:nvSpPr>
        <xdr:spPr>
          <a:xfrm>
            <a:off x="3438525" y="3800475"/>
            <a:ext cx="201168" cy="201168"/>
          </a:xfrm>
          <a:prstGeom prst="ellipse">
            <a:avLst/>
          </a:prstGeom>
          <a:no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CardMembName">
            <a:extLst>
              <a:ext uri="{FF2B5EF4-FFF2-40B4-BE49-F238E27FC236}">
                <a16:creationId xmlns:a16="http://schemas.microsoft.com/office/drawing/2014/main" id="{00000000-0008-0000-0100-0000EA000000}"/>
              </a:ext>
            </a:extLst>
          </xdr:cNvPr>
          <xdr:cNvSpPr txBox="1"/>
        </xdr:nvSpPr>
        <xdr:spPr>
          <a:xfrm>
            <a:off x="3648075" y="3790950"/>
            <a:ext cx="10191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100"/>
              <a:t>Lisa James</a:t>
            </a:r>
          </a:p>
        </xdr:txBody>
      </xdr:sp>
      <xdr:sp macro="[0]!Kanban_MoveCard" textlink="">
        <xdr:nvSpPr>
          <xdr:cNvPr id="235" name="MoveCardBtn6">
            <a:extLst>
              <a:ext uri="{FF2B5EF4-FFF2-40B4-BE49-F238E27FC236}">
                <a16:creationId xmlns:a16="http://schemas.microsoft.com/office/drawing/2014/main" id="{00000000-0008-0000-0100-0000EB000000}"/>
              </a:ext>
            </a:extLst>
          </xdr:cNvPr>
          <xdr:cNvSpPr/>
        </xdr:nvSpPr>
        <xdr:spPr>
          <a:xfrm>
            <a:off x="4589977" y="3082344"/>
            <a:ext cx="165724" cy="182880"/>
          </a:xfrm>
          <a:prstGeom prst="rightArrow">
            <a:avLst/>
          </a:prstGeom>
          <a:ln/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Task_Display">
        <xdr:nvPicPr>
          <xdr:cNvPr id="236" name="ViewCardBtn6">
            <a:extLst>
              <a:ext uri="{FF2B5EF4-FFF2-40B4-BE49-F238E27FC236}">
                <a16:creationId xmlns:a16="http://schemas.microsoft.com/office/drawing/2014/main" id="{00000000-0008-0000-0100-0000E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57650" y="3809925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12699</xdr:colOff>
      <xdr:row>18</xdr:row>
      <xdr:rowOff>44450</xdr:rowOff>
    </xdr:from>
    <xdr:to>
      <xdr:col>7</xdr:col>
      <xdr:colOff>1568449</xdr:colOff>
      <xdr:row>23</xdr:row>
      <xdr:rowOff>63500</xdr:rowOff>
    </xdr:to>
    <xdr:grpSp>
      <xdr:nvGrpSpPr>
        <xdr:cNvPr id="237" name="TaskCard10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GrpSpPr/>
      </xdr:nvGrpSpPr>
      <xdr:grpSpPr>
        <a:xfrm>
          <a:off x="8099424" y="3997325"/>
          <a:ext cx="1555750" cy="971550"/>
          <a:chOff x="3419475" y="3048000"/>
          <a:chExt cx="1421055" cy="971550"/>
        </a:xfrm>
      </xdr:grpSpPr>
      <xdr:sp macro="[0]!Kanban_SelectTask" textlink="">
        <xdr:nvSpPr>
          <xdr:cNvPr id="238" name="CardBack10">
            <a:extLst>
              <a:ext uri="{FF2B5EF4-FFF2-40B4-BE49-F238E27FC236}">
                <a16:creationId xmlns:a16="http://schemas.microsoft.com/office/drawing/2014/main" id="{00000000-0008-0000-0100-0000EE000000}"/>
              </a:ext>
            </a:extLst>
          </xdr:cNvPr>
          <xdr:cNvSpPr/>
        </xdr:nvSpPr>
        <xdr:spPr>
          <a:xfrm>
            <a:off x="3419475" y="3048000"/>
            <a:ext cx="1419225" cy="962025"/>
          </a:xfrm>
          <a:prstGeom prst="snip1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lIns="45720" tIns="0" bIns="0" rtlCol="0" anchor="t"/>
          <a:lstStyle/>
          <a:p>
            <a:pPr algn="l"/>
            <a:r>
              <a:rPr lang="en-US" sz="1100" b="0" baseline="0"/>
              <a:t>Client Email</a:t>
            </a:r>
          </a:p>
          <a:p>
            <a:pPr algn="l"/>
            <a:r>
              <a:rPr lang="en-US" sz="1100" b="0" baseline="0"/>
              <a:t>Johns Custom App</a:t>
            </a:r>
          </a:p>
          <a:p>
            <a:pPr algn="l"/>
            <a:r>
              <a:rPr lang="en-US" sz="1100" b="0" baseline="0"/>
              <a:t>Scope</a:t>
            </a:r>
          </a:p>
        </xdr:txBody>
      </xdr:sp>
      <xdr:sp macro="" textlink="">
        <xdr:nvSpPr>
          <xdr:cNvPr id="239" name="CardMembPic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SpPr/>
        </xdr:nvSpPr>
        <xdr:spPr>
          <a:xfrm>
            <a:off x="3438525" y="3800475"/>
            <a:ext cx="201168" cy="201168"/>
          </a:xfrm>
          <a:prstGeom prst="ellipse">
            <a:avLst/>
          </a:prstGeom>
          <a:no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0" name="CardMembName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3648075" y="3790950"/>
            <a:ext cx="10191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100"/>
              <a:t>Lisa James</a:t>
            </a:r>
          </a:p>
        </xdr:txBody>
      </xdr:sp>
      <xdr:sp macro="[0]!Kanban_MoveCard" textlink="">
        <xdr:nvSpPr>
          <xdr:cNvPr id="241" name="MoveCardBtn10">
            <a:extLst>
              <a:ext uri="{FF2B5EF4-FFF2-40B4-BE49-F238E27FC236}">
                <a16:creationId xmlns:a16="http://schemas.microsoft.com/office/drawing/2014/main" id="{00000000-0008-0000-0100-0000F1000000}"/>
              </a:ext>
            </a:extLst>
          </xdr:cNvPr>
          <xdr:cNvSpPr/>
        </xdr:nvSpPr>
        <xdr:spPr>
          <a:xfrm>
            <a:off x="4589977" y="3082344"/>
            <a:ext cx="165724" cy="182880"/>
          </a:xfrm>
          <a:prstGeom prst="rightArrow">
            <a:avLst/>
          </a:prstGeom>
          <a:ln/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Task_Display">
        <xdr:nvPicPr>
          <xdr:cNvPr id="242" name="ViewCardBtn10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57650" y="3809925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12699</xdr:colOff>
      <xdr:row>23</xdr:row>
      <xdr:rowOff>88900</xdr:rowOff>
    </xdr:from>
    <xdr:to>
      <xdr:col>7</xdr:col>
      <xdr:colOff>1568449</xdr:colOff>
      <xdr:row>28</xdr:row>
      <xdr:rowOff>107950</xdr:rowOff>
    </xdr:to>
    <xdr:grpSp>
      <xdr:nvGrpSpPr>
        <xdr:cNvPr id="243" name="TaskCard16">
          <a:extLs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GrpSpPr/>
      </xdr:nvGrpSpPr>
      <xdr:grpSpPr>
        <a:xfrm>
          <a:off x="8099424" y="4994275"/>
          <a:ext cx="1555750" cy="971550"/>
          <a:chOff x="3419475" y="3048000"/>
          <a:chExt cx="1421055" cy="971550"/>
        </a:xfrm>
      </xdr:grpSpPr>
      <xdr:sp macro="[0]!Kanban_SelectTask" textlink="">
        <xdr:nvSpPr>
          <xdr:cNvPr id="244" name="CardBack16">
            <a:extLst>
              <a:ext uri="{FF2B5EF4-FFF2-40B4-BE49-F238E27FC236}">
                <a16:creationId xmlns:a16="http://schemas.microsoft.com/office/drawing/2014/main" id="{00000000-0008-0000-0100-0000F4000000}"/>
              </a:ext>
            </a:extLst>
          </xdr:cNvPr>
          <xdr:cNvSpPr/>
        </xdr:nvSpPr>
        <xdr:spPr>
          <a:xfrm>
            <a:off x="3419475" y="3048000"/>
            <a:ext cx="1419225" cy="962025"/>
          </a:xfrm>
          <a:prstGeom prst="snip1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lIns="45720" tIns="0" bIns="0" rtlCol="0" anchor="t"/>
          <a:lstStyle/>
          <a:p>
            <a:pPr algn="l"/>
            <a:r>
              <a:rPr lang="en-US" sz="1100" b="0" baseline="0"/>
              <a:t>Customer Email</a:t>
            </a:r>
          </a:p>
          <a:p>
            <a:pPr algn="l"/>
            <a:r>
              <a:rPr lang="en-US" sz="1100" b="0" baseline="0"/>
              <a:t>Grocery Store Site</a:t>
            </a:r>
          </a:p>
          <a:p>
            <a:pPr algn="l"/>
            <a:r>
              <a:rPr lang="en-US" sz="1100" b="0" baseline="0"/>
              <a:t>Scope</a:t>
            </a:r>
          </a:p>
        </xdr:txBody>
      </xdr:sp>
      <xdr:sp macro="" textlink="">
        <xdr:nvSpPr>
          <xdr:cNvPr id="245" name="CardMembPic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SpPr/>
        </xdr:nvSpPr>
        <xdr:spPr>
          <a:xfrm>
            <a:off x="3438525" y="3800475"/>
            <a:ext cx="201168" cy="201168"/>
          </a:xfrm>
          <a:prstGeom prst="ellipse">
            <a:avLst/>
          </a:prstGeom>
          <a:no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6" name="CardMembName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3648075" y="3790950"/>
            <a:ext cx="10191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100"/>
              <a:t>Mary Poppins</a:t>
            </a:r>
          </a:p>
        </xdr:txBody>
      </xdr:sp>
      <xdr:sp macro="[0]!Kanban_MoveCard" textlink="">
        <xdr:nvSpPr>
          <xdr:cNvPr id="247" name="MoveCardBtn16">
            <a:extLst>
              <a:ext uri="{FF2B5EF4-FFF2-40B4-BE49-F238E27FC236}">
                <a16:creationId xmlns:a16="http://schemas.microsoft.com/office/drawing/2014/main" id="{00000000-0008-0000-0100-0000F7000000}"/>
              </a:ext>
            </a:extLst>
          </xdr:cNvPr>
          <xdr:cNvSpPr/>
        </xdr:nvSpPr>
        <xdr:spPr>
          <a:xfrm>
            <a:off x="4589977" y="3082344"/>
            <a:ext cx="165724" cy="182880"/>
          </a:xfrm>
          <a:prstGeom prst="rightArrow">
            <a:avLst/>
          </a:prstGeom>
          <a:ln/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Task_Display">
        <xdr:nvPicPr>
          <xdr:cNvPr id="248" name="ViewCardBtn16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57650" y="3809925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12699</xdr:colOff>
      <xdr:row>18</xdr:row>
      <xdr:rowOff>44450</xdr:rowOff>
    </xdr:from>
    <xdr:to>
      <xdr:col>5</xdr:col>
      <xdr:colOff>1568449</xdr:colOff>
      <xdr:row>23</xdr:row>
      <xdr:rowOff>63500</xdr:rowOff>
    </xdr:to>
    <xdr:grpSp>
      <xdr:nvGrpSpPr>
        <xdr:cNvPr id="249" name="TaskCard20">
          <a:extLst>
            <a:ext uri="{FF2B5EF4-FFF2-40B4-BE49-F238E27FC236}">
              <a16:creationId xmlns:a16="http://schemas.microsoft.com/office/drawing/2014/main" id="{00000000-0008-0000-0100-0000F9000000}"/>
            </a:ext>
          </a:extLst>
        </xdr:cNvPr>
        <xdr:cNvGrpSpPr/>
      </xdr:nvGrpSpPr>
      <xdr:grpSpPr>
        <a:xfrm>
          <a:off x="4937124" y="3997325"/>
          <a:ext cx="1555750" cy="971550"/>
          <a:chOff x="3419475" y="3048000"/>
          <a:chExt cx="1421055" cy="971550"/>
        </a:xfrm>
      </xdr:grpSpPr>
      <xdr:sp macro="[0]!Kanban_SelectTask" textlink="">
        <xdr:nvSpPr>
          <xdr:cNvPr id="250" name="CardBack20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SpPr/>
        </xdr:nvSpPr>
        <xdr:spPr>
          <a:xfrm>
            <a:off x="3419475" y="3048000"/>
            <a:ext cx="1419225" cy="962025"/>
          </a:xfrm>
          <a:prstGeom prst="snip1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lIns="45720" tIns="0" bIns="0" rtlCol="0" anchor="t"/>
          <a:lstStyle/>
          <a:p>
            <a:pPr algn="l"/>
            <a:r>
              <a:rPr lang="en-US" sz="1100" b="0" baseline="0"/>
              <a:t>Flowchart</a:t>
            </a:r>
          </a:p>
          <a:p>
            <a:pPr algn="l"/>
            <a:r>
              <a:rPr lang="en-US" sz="1100" b="0" baseline="0"/>
              <a:t>Grocery Store Site</a:t>
            </a:r>
          </a:p>
          <a:p>
            <a:pPr algn="l"/>
            <a:r>
              <a:rPr lang="en-US" sz="1100" b="0" baseline="0"/>
              <a:t>Development</a:t>
            </a:r>
          </a:p>
        </xdr:txBody>
      </xdr:sp>
      <xdr:sp macro="" textlink="">
        <xdr:nvSpPr>
          <xdr:cNvPr id="251" name="CardMembPic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SpPr/>
        </xdr:nvSpPr>
        <xdr:spPr>
          <a:xfrm>
            <a:off x="3438525" y="3800475"/>
            <a:ext cx="201168" cy="201168"/>
          </a:xfrm>
          <a:prstGeom prst="ellipse">
            <a:avLst/>
          </a:prstGeom>
          <a:no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2" name="CardMembName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3648075" y="3790950"/>
            <a:ext cx="10191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100"/>
              <a:t>Mary Poppins</a:t>
            </a:r>
          </a:p>
        </xdr:txBody>
      </xdr:sp>
      <xdr:sp macro="[0]!Kanban_MoveCard" textlink="">
        <xdr:nvSpPr>
          <xdr:cNvPr id="253" name="MoveCardBtn20">
            <a:extLst>
              <a:ext uri="{FF2B5EF4-FFF2-40B4-BE49-F238E27FC236}">
                <a16:creationId xmlns:a16="http://schemas.microsoft.com/office/drawing/2014/main" id="{00000000-0008-0000-0100-0000FD000000}"/>
              </a:ext>
            </a:extLst>
          </xdr:cNvPr>
          <xdr:cNvSpPr/>
        </xdr:nvSpPr>
        <xdr:spPr>
          <a:xfrm>
            <a:off x="4589977" y="3082344"/>
            <a:ext cx="165724" cy="182880"/>
          </a:xfrm>
          <a:prstGeom prst="rightArrow">
            <a:avLst/>
          </a:prstGeom>
          <a:ln/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Task_Display">
        <xdr:nvPicPr>
          <xdr:cNvPr id="254" name="ViewCardBtn20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57650" y="3809925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12699</xdr:colOff>
      <xdr:row>23</xdr:row>
      <xdr:rowOff>88900</xdr:rowOff>
    </xdr:from>
    <xdr:to>
      <xdr:col>5</xdr:col>
      <xdr:colOff>1568449</xdr:colOff>
      <xdr:row>28</xdr:row>
      <xdr:rowOff>107950</xdr:rowOff>
    </xdr:to>
    <xdr:grpSp>
      <xdr:nvGrpSpPr>
        <xdr:cNvPr id="255" name="TaskCard21">
          <a:extLst>
            <a:ext uri="{FF2B5EF4-FFF2-40B4-BE49-F238E27FC236}">
              <a16:creationId xmlns:a16="http://schemas.microsoft.com/office/drawing/2014/main" id="{00000000-0008-0000-0100-0000FF000000}"/>
            </a:ext>
          </a:extLst>
        </xdr:cNvPr>
        <xdr:cNvGrpSpPr/>
      </xdr:nvGrpSpPr>
      <xdr:grpSpPr>
        <a:xfrm>
          <a:off x="4937124" y="4994275"/>
          <a:ext cx="1555750" cy="971550"/>
          <a:chOff x="3419475" y="3048000"/>
          <a:chExt cx="1421055" cy="971550"/>
        </a:xfrm>
      </xdr:grpSpPr>
      <xdr:sp macro="[0]!Kanban_SelectTask" textlink="">
        <xdr:nvSpPr>
          <xdr:cNvPr id="256" name="CardBack21">
            <a:extLst>
              <a:ext uri="{FF2B5EF4-FFF2-40B4-BE49-F238E27FC236}">
                <a16:creationId xmlns:a16="http://schemas.microsoft.com/office/drawing/2014/main" id="{00000000-0008-0000-0100-000000010000}"/>
              </a:ext>
            </a:extLst>
          </xdr:cNvPr>
          <xdr:cNvSpPr/>
        </xdr:nvSpPr>
        <xdr:spPr>
          <a:xfrm>
            <a:off x="3419475" y="3048000"/>
            <a:ext cx="1419225" cy="962025"/>
          </a:xfrm>
          <a:prstGeom prst="snip1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lIns="45720" tIns="0" bIns="0" rtlCol="0" anchor="t"/>
          <a:lstStyle/>
          <a:p>
            <a:pPr algn="l"/>
            <a:r>
              <a:rPr lang="en-US" sz="1100" b="0" baseline="0"/>
              <a:t>App Testing</a:t>
            </a:r>
          </a:p>
          <a:p>
            <a:pPr algn="l"/>
            <a:r>
              <a:rPr lang="en-US" sz="1100" b="0" baseline="0"/>
              <a:t>Johns Custom App</a:t>
            </a:r>
          </a:p>
          <a:p>
            <a:pPr algn="l"/>
            <a:r>
              <a:rPr lang="en-US" sz="1100" b="0" baseline="0"/>
              <a:t>Development</a:t>
            </a:r>
          </a:p>
        </xdr:txBody>
      </xdr:sp>
      <xdr:sp macro="" textlink="">
        <xdr:nvSpPr>
          <xdr:cNvPr id="257" name="CardMembPic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SpPr/>
        </xdr:nvSpPr>
        <xdr:spPr>
          <a:xfrm>
            <a:off x="3438525" y="3800475"/>
            <a:ext cx="201168" cy="201168"/>
          </a:xfrm>
          <a:prstGeom prst="ellipse">
            <a:avLst/>
          </a:prstGeom>
          <a:no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8" name="CardMembName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3648075" y="3790950"/>
            <a:ext cx="10191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100"/>
              <a:t>Harold Banks</a:t>
            </a:r>
          </a:p>
        </xdr:txBody>
      </xdr:sp>
      <xdr:sp macro="[0]!Kanban_MoveCard" textlink="">
        <xdr:nvSpPr>
          <xdr:cNvPr id="259" name="MoveCardBtn21">
            <a:extLst>
              <a:ext uri="{FF2B5EF4-FFF2-40B4-BE49-F238E27FC236}">
                <a16:creationId xmlns:a16="http://schemas.microsoft.com/office/drawing/2014/main" id="{00000000-0008-0000-0100-000003010000}"/>
              </a:ext>
            </a:extLst>
          </xdr:cNvPr>
          <xdr:cNvSpPr/>
        </xdr:nvSpPr>
        <xdr:spPr>
          <a:xfrm>
            <a:off x="4589977" y="3082344"/>
            <a:ext cx="165724" cy="182880"/>
          </a:xfrm>
          <a:prstGeom prst="rightArrow">
            <a:avLst/>
          </a:prstGeom>
          <a:ln/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Task_Display">
        <xdr:nvPicPr>
          <xdr:cNvPr id="260" name="ViewCardBtn21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57650" y="3809925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12699</xdr:colOff>
      <xdr:row>18</xdr:row>
      <xdr:rowOff>44450</xdr:rowOff>
    </xdr:from>
    <xdr:to>
      <xdr:col>4</xdr:col>
      <xdr:colOff>1568449</xdr:colOff>
      <xdr:row>23</xdr:row>
      <xdr:rowOff>63500</xdr:rowOff>
    </xdr:to>
    <xdr:grpSp>
      <xdr:nvGrpSpPr>
        <xdr:cNvPr id="261" name="TaskCard3">
          <a:extLst>
            <a:ext uri="{FF2B5EF4-FFF2-40B4-BE49-F238E27FC236}">
              <a16:creationId xmlns:a16="http://schemas.microsoft.com/office/drawing/2014/main" id="{00000000-0008-0000-0100-000005010000}"/>
            </a:ext>
          </a:extLst>
        </xdr:cNvPr>
        <xdr:cNvGrpSpPr/>
      </xdr:nvGrpSpPr>
      <xdr:grpSpPr>
        <a:xfrm>
          <a:off x="3355974" y="3997325"/>
          <a:ext cx="1555750" cy="971550"/>
          <a:chOff x="3419475" y="3048000"/>
          <a:chExt cx="1421055" cy="971550"/>
        </a:xfrm>
      </xdr:grpSpPr>
      <xdr:sp macro="[0]!Kanban_SelectTask" textlink="">
        <xdr:nvSpPr>
          <xdr:cNvPr id="262" name="CardBack3">
            <a:extLst>
              <a:ext uri="{FF2B5EF4-FFF2-40B4-BE49-F238E27FC236}">
                <a16:creationId xmlns:a16="http://schemas.microsoft.com/office/drawing/2014/main" id="{00000000-0008-0000-0100-000006010000}"/>
              </a:ext>
            </a:extLst>
          </xdr:cNvPr>
          <xdr:cNvSpPr/>
        </xdr:nvSpPr>
        <xdr:spPr>
          <a:xfrm>
            <a:off x="3419475" y="3048000"/>
            <a:ext cx="1419225" cy="962025"/>
          </a:xfrm>
          <a:prstGeom prst="snip1Rect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45720" tIns="0" bIns="0" rtlCol="0" anchor="t"/>
          <a:lstStyle/>
          <a:p>
            <a:pPr algn="l"/>
            <a:r>
              <a:rPr lang="en-US" sz="1100" b="0" baseline="0"/>
              <a:t>Design Screen</a:t>
            </a:r>
          </a:p>
          <a:p>
            <a:pPr algn="l"/>
            <a:r>
              <a:rPr lang="en-US" sz="1100" b="0" baseline="0"/>
              <a:t>Franklin Site Design</a:t>
            </a:r>
          </a:p>
          <a:p>
            <a:pPr algn="l"/>
            <a:r>
              <a:rPr lang="en-US" sz="1100" b="0" baseline="0"/>
              <a:t>Release</a:t>
            </a:r>
          </a:p>
        </xdr:txBody>
      </xdr:sp>
      <xdr:sp macro="" textlink="">
        <xdr:nvSpPr>
          <xdr:cNvPr id="263" name="CardMembPic">
            <a:extLst>
              <a:ext uri="{FF2B5EF4-FFF2-40B4-BE49-F238E27FC236}">
                <a16:creationId xmlns:a16="http://schemas.microsoft.com/office/drawing/2014/main" id="{00000000-0008-0000-0100-000007010000}"/>
              </a:ext>
            </a:extLst>
          </xdr:cNvPr>
          <xdr:cNvSpPr/>
        </xdr:nvSpPr>
        <xdr:spPr>
          <a:xfrm>
            <a:off x="3438525" y="3800475"/>
            <a:ext cx="201168" cy="201168"/>
          </a:xfrm>
          <a:prstGeom prst="ellipse">
            <a:avLst/>
          </a:prstGeom>
          <a:no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4" name="CardMembName">
            <a:extLst>
              <a:ext uri="{FF2B5EF4-FFF2-40B4-BE49-F238E27FC236}">
                <a16:creationId xmlns:a16="http://schemas.microsoft.com/office/drawing/2014/main" id="{00000000-0008-0000-0100-000008010000}"/>
              </a:ext>
            </a:extLst>
          </xdr:cNvPr>
          <xdr:cNvSpPr txBox="1"/>
        </xdr:nvSpPr>
        <xdr:spPr>
          <a:xfrm>
            <a:off x="3648075" y="3790950"/>
            <a:ext cx="10191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100"/>
              <a:t>Harold Banks</a:t>
            </a:r>
          </a:p>
        </xdr:txBody>
      </xdr:sp>
      <xdr:sp macro="[0]!Kanban_MoveCard" textlink="">
        <xdr:nvSpPr>
          <xdr:cNvPr id="265" name="MoveCardBtn3">
            <a:extLst>
              <a:ext uri="{FF2B5EF4-FFF2-40B4-BE49-F238E27FC236}">
                <a16:creationId xmlns:a16="http://schemas.microsoft.com/office/drawing/2014/main" id="{00000000-0008-0000-0100-000009010000}"/>
              </a:ext>
            </a:extLst>
          </xdr:cNvPr>
          <xdr:cNvSpPr/>
        </xdr:nvSpPr>
        <xdr:spPr>
          <a:xfrm>
            <a:off x="4589977" y="3082344"/>
            <a:ext cx="165724" cy="182880"/>
          </a:xfrm>
          <a:prstGeom prst="rightArrow">
            <a:avLst/>
          </a:prstGeom>
          <a:ln/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Task_Display">
        <xdr:nvPicPr>
          <xdr:cNvPr id="266" name="ViewCardBtn3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57650" y="3809925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12699</xdr:colOff>
      <xdr:row>28</xdr:row>
      <xdr:rowOff>133350</xdr:rowOff>
    </xdr:from>
    <xdr:to>
      <xdr:col>5</xdr:col>
      <xdr:colOff>1568449</xdr:colOff>
      <xdr:row>33</xdr:row>
      <xdr:rowOff>152400</xdr:rowOff>
    </xdr:to>
    <xdr:grpSp>
      <xdr:nvGrpSpPr>
        <xdr:cNvPr id="267" name="TaskCard7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GrpSpPr/>
      </xdr:nvGrpSpPr>
      <xdr:grpSpPr>
        <a:xfrm>
          <a:off x="4937124" y="5991225"/>
          <a:ext cx="1555750" cy="971550"/>
          <a:chOff x="3419475" y="3048000"/>
          <a:chExt cx="1421055" cy="971550"/>
        </a:xfrm>
      </xdr:grpSpPr>
      <xdr:sp macro="[0]!Kanban_SelectTask" textlink="">
        <xdr:nvSpPr>
          <xdr:cNvPr id="268" name="CardBack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/>
        </xdr:nvSpPr>
        <xdr:spPr>
          <a:xfrm>
            <a:off x="3419475" y="3048000"/>
            <a:ext cx="1419225" cy="962025"/>
          </a:xfrm>
          <a:prstGeom prst="snip1Rect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45720" tIns="0" bIns="0" rtlCol="0" anchor="t"/>
          <a:lstStyle/>
          <a:p>
            <a:pPr algn="l"/>
            <a:r>
              <a:rPr lang="en-US" sz="1100" b="0" baseline="0"/>
              <a:t>Site Scope</a:t>
            </a:r>
          </a:p>
          <a:p>
            <a:pPr algn="l"/>
            <a:r>
              <a:rPr lang="en-US" sz="1100" b="0" baseline="0"/>
              <a:t>Franklin Site Design</a:t>
            </a:r>
          </a:p>
          <a:p>
            <a:pPr algn="l"/>
            <a:r>
              <a:rPr lang="en-US" sz="1100" b="0" baseline="0"/>
              <a:t>Design</a:t>
            </a:r>
          </a:p>
        </xdr:txBody>
      </xdr:sp>
      <xdr:sp macro="" textlink="">
        <xdr:nvSpPr>
          <xdr:cNvPr id="269" name="CardMembPic">
            <a:extLst>
              <a:ext uri="{FF2B5EF4-FFF2-40B4-BE49-F238E27FC236}">
                <a16:creationId xmlns:a16="http://schemas.microsoft.com/office/drawing/2014/main" id="{00000000-0008-0000-0100-00000D010000}"/>
              </a:ext>
            </a:extLst>
          </xdr:cNvPr>
          <xdr:cNvSpPr/>
        </xdr:nvSpPr>
        <xdr:spPr>
          <a:xfrm>
            <a:off x="3438525" y="3800475"/>
            <a:ext cx="201168" cy="201168"/>
          </a:xfrm>
          <a:prstGeom prst="ellipse">
            <a:avLst/>
          </a:prstGeom>
          <a:no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0" name="CardMembName">
            <a:extLst>
              <a:ext uri="{FF2B5EF4-FFF2-40B4-BE49-F238E27FC236}">
                <a16:creationId xmlns:a16="http://schemas.microsoft.com/office/drawing/2014/main" id="{00000000-0008-0000-0100-00000E010000}"/>
              </a:ext>
            </a:extLst>
          </xdr:cNvPr>
          <xdr:cNvSpPr txBox="1"/>
        </xdr:nvSpPr>
        <xdr:spPr>
          <a:xfrm>
            <a:off x="3648075" y="3790950"/>
            <a:ext cx="10191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100"/>
              <a:t>Harold Banks</a:t>
            </a:r>
          </a:p>
        </xdr:txBody>
      </xdr:sp>
      <xdr:sp macro="[0]!Kanban_MoveCard" textlink="">
        <xdr:nvSpPr>
          <xdr:cNvPr id="271" name="MoveCardBtn7">
            <a:extLst>
              <a:ext uri="{FF2B5EF4-FFF2-40B4-BE49-F238E27FC236}">
                <a16:creationId xmlns:a16="http://schemas.microsoft.com/office/drawing/2014/main" id="{00000000-0008-0000-0100-00000F010000}"/>
              </a:ext>
            </a:extLst>
          </xdr:cNvPr>
          <xdr:cNvSpPr/>
        </xdr:nvSpPr>
        <xdr:spPr>
          <a:xfrm>
            <a:off x="4589977" y="3082344"/>
            <a:ext cx="165724" cy="182880"/>
          </a:xfrm>
          <a:prstGeom prst="rightArrow">
            <a:avLst/>
          </a:prstGeom>
          <a:ln/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Task_Display">
        <xdr:nvPicPr>
          <xdr:cNvPr id="272" name="ViewCardBtn7">
            <a:extLst>
              <a:ext uri="{FF2B5EF4-FFF2-40B4-BE49-F238E27FC236}">
                <a16:creationId xmlns:a16="http://schemas.microsoft.com/office/drawing/2014/main" id="{00000000-0008-0000-0100-00001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57650" y="3809925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12699</xdr:colOff>
      <xdr:row>18</xdr:row>
      <xdr:rowOff>44450</xdr:rowOff>
    </xdr:from>
    <xdr:to>
      <xdr:col>9</xdr:col>
      <xdr:colOff>1568449</xdr:colOff>
      <xdr:row>23</xdr:row>
      <xdr:rowOff>63500</xdr:rowOff>
    </xdr:to>
    <xdr:grpSp>
      <xdr:nvGrpSpPr>
        <xdr:cNvPr id="273" name="TaskCard11">
          <a:extLst>
            <a:ext uri="{FF2B5EF4-FFF2-40B4-BE49-F238E27FC236}">
              <a16:creationId xmlns:a16="http://schemas.microsoft.com/office/drawing/2014/main" id="{00000000-0008-0000-0100-000011010000}"/>
            </a:ext>
          </a:extLst>
        </xdr:cNvPr>
        <xdr:cNvGrpSpPr/>
      </xdr:nvGrpSpPr>
      <xdr:grpSpPr>
        <a:xfrm>
          <a:off x="11261724" y="3997325"/>
          <a:ext cx="1555750" cy="971550"/>
          <a:chOff x="3419475" y="3048000"/>
          <a:chExt cx="1421055" cy="971550"/>
        </a:xfrm>
      </xdr:grpSpPr>
      <xdr:sp macro="[0]!Kanban_SelectTask" textlink="">
        <xdr:nvSpPr>
          <xdr:cNvPr id="274" name="CardBack11">
            <a:extLst>
              <a:ext uri="{FF2B5EF4-FFF2-40B4-BE49-F238E27FC236}">
                <a16:creationId xmlns:a16="http://schemas.microsoft.com/office/drawing/2014/main" id="{00000000-0008-0000-0100-000012010000}"/>
              </a:ext>
            </a:extLst>
          </xdr:cNvPr>
          <xdr:cNvSpPr/>
        </xdr:nvSpPr>
        <xdr:spPr>
          <a:xfrm>
            <a:off x="3419475" y="3048000"/>
            <a:ext cx="1419225" cy="962025"/>
          </a:xfrm>
          <a:prstGeom prst="snip1Rect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45720" tIns="0" bIns="0" rtlCol="0" anchor="t"/>
          <a:lstStyle/>
          <a:p>
            <a:pPr algn="l"/>
            <a:r>
              <a:rPr lang="en-US" sz="1100" b="0" baseline="0"/>
              <a:t>Client Meeting</a:t>
            </a:r>
          </a:p>
          <a:p>
            <a:pPr algn="l"/>
            <a:r>
              <a:rPr lang="en-US" sz="1100" b="0" baseline="0"/>
              <a:t>Franklin Site Design</a:t>
            </a:r>
          </a:p>
          <a:p>
            <a:pPr algn="l"/>
            <a:r>
              <a:rPr lang="en-US" sz="1100" b="0" baseline="0"/>
              <a:t>Meeting</a:t>
            </a:r>
          </a:p>
        </xdr:txBody>
      </xdr:sp>
      <xdr:sp macro="" textlink="">
        <xdr:nvSpPr>
          <xdr:cNvPr id="275" name="CardMembPic">
            <a:extLst>
              <a:ext uri="{FF2B5EF4-FFF2-40B4-BE49-F238E27FC236}">
                <a16:creationId xmlns:a16="http://schemas.microsoft.com/office/drawing/2014/main" id="{00000000-0008-0000-0100-000013010000}"/>
              </a:ext>
            </a:extLst>
          </xdr:cNvPr>
          <xdr:cNvSpPr/>
        </xdr:nvSpPr>
        <xdr:spPr>
          <a:xfrm>
            <a:off x="3438525" y="3800475"/>
            <a:ext cx="201168" cy="201168"/>
          </a:xfrm>
          <a:prstGeom prst="ellipse">
            <a:avLst/>
          </a:prstGeom>
          <a:no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6" name="CardMembName">
            <a:extLst>
              <a:ext uri="{FF2B5EF4-FFF2-40B4-BE49-F238E27FC236}">
                <a16:creationId xmlns:a16="http://schemas.microsoft.com/office/drawing/2014/main" id="{00000000-0008-0000-0100-000014010000}"/>
              </a:ext>
            </a:extLst>
          </xdr:cNvPr>
          <xdr:cNvSpPr txBox="1"/>
        </xdr:nvSpPr>
        <xdr:spPr>
          <a:xfrm>
            <a:off x="3648075" y="3790950"/>
            <a:ext cx="10191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100"/>
              <a:t>Harold Banks</a:t>
            </a:r>
          </a:p>
        </xdr:txBody>
      </xdr:sp>
      <xdr:sp macro="[0]!Kanban_MoveCard" textlink="">
        <xdr:nvSpPr>
          <xdr:cNvPr id="277" name="MoveCardBtn11">
            <a:extLst>
              <a:ext uri="{FF2B5EF4-FFF2-40B4-BE49-F238E27FC236}">
                <a16:creationId xmlns:a16="http://schemas.microsoft.com/office/drawing/2014/main" id="{00000000-0008-0000-0100-000015010000}"/>
              </a:ext>
            </a:extLst>
          </xdr:cNvPr>
          <xdr:cNvSpPr/>
        </xdr:nvSpPr>
        <xdr:spPr>
          <a:xfrm>
            <a:off x="4589977" y="3082344"/>
            <a:ext cx="165724" cy="182880"/>
          </a:xfrm>
          <a:prstGeom prst="rightArrow">
            <a:avLst/>
          </a:prstGeom>
          <a:ln/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Task_Display">
        <xdr:nvPicPr>
          <xdr:cNvPr id="278" name="ViewCardBtn11">
            <a:extLst>
              <a:ext uri="{FF2B5EF4-FFF2-40B4-BE49-F238E27FC236}">
                <a16:creationId xmlns:a16="http://schemas.microsoft.com/office/drawing/2014/main" id="{00000000-0008-0000-0100-000016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57650" y="3809925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12699</xdr:colOff>
      <xdr:row>23</xdr:row>
      <xdr:rowOff>88900</xdr:rowOff>
    </xdr:from>
    <xdr:to>
      <xdr:col>6</xdr:col>
      <xdr:colOff>1568449</xdr:colOff>
      <xdr:row>28</xdr:row>
      <xdr:rowOff>107950</xdr:rowOff>
    </xdr:to>
    <xdr:grpSp>
      <xdr:nvGrpSpPr>
        <xdr:cNvPr id="279" name="TaskCard13">
          <a:extLst>
            <a:ext uri="{FF2B5EF4-FFF2-40B4-BE49-F238E27FC236}">
              <a16:creationId xmlns:a16="http://schemas.microsoft.com/office/drawing/2014/main" id="{00000000-0008-0000-0100-000017010000}"/>
            </a:ext>
          </a:extLst>
        </xdr:cNvPr>
        <xdr:cNvGrpSpPr/>
      </xdr:nvGrpSpPr>
      <xdr:grpSpPr>
        <a:xfrm>
          <a:off x="6518274" y="4994275"/>
          <a:ext cx="1555750" cy="971550"/>
          <a:chOff x="3419475" y="3048000"/>
          <a:chExt cx="1421055" cy="971550"/>
        </a:xfrm>
      </xdr:grpSpPr>
      <xdr:sp macro="[0]!Kanban_SelectTask" textlink="">
        <xdr:nvSpPr>
          <xdr:cNvPr id="280" name="CardBack13">
            <a:extLst>
              <a:ext uri="{FF2B5EF4-FFF2-40B4-BE49-F238E27FC236}">
                <a16:creationId xmlns:a16="http://schemas.microsoft.com/office/drawing/2014/main" id="{00000000-0008-0000-0100-000018010000}"/>
              </a:ext>
            </a:extLst>
          </xdr:cNvPr>
          <xdr:cNvSpPr/>
        </xdr:nvSpPr>
        <xdr:spPr>
          <a:xfrm>
            <a:off x="3419475" y="3048000"/>
            <a:ext cx="1419225" cy="962025"/>
          </a:xfrm>
          <a:prstGeom prst="snip1Rect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45720" tIns="0" bIns="0" rtlCol="0" anchor="t"/>
          <a:lstStyle/>
          <a:p>
            <a:pPr algn="l"/>
            <a:r>
              <a:rPr lang="en-US" sz="1100" b="0" baseline="0"/>
              <a:t>Site Scope</a:t>
            </a:r>
          </a:p>
          <a:p>
            <a:pPr algn="l"/>
            <a:r>
              <a:rPr lang="en-US" sz="1100" b="0" baseline="0"/>
              <a:t>Fredders Website</a:t>
            </a:r>
          </a:p>
          <a:p>
            <a:pPr algn="l"/>
            <a:r>
              <a:rPr lang="en-US" sz="1100" b="0" baseline="0"/>
              <a:t>Design</a:t>
            </a:r>
          </a:p>
        </xdr:txBody>
      </xdr:sp>
      <xdr:sp macro="" textlink="">
        <xdr:nvSpPr>
          <xdr:cNvPr id="281" name="CardMembPic">
            <a:extLst>
              <a:ext uri="{FF2B5EF4-FFF2-40B4-BE49-F238E27FC236}">
                <a16:creationId xmlns:a16="http://schemas.microsoft.com/office/drawing/2014/main" id="{00000000-0008-0000-0100-000019010000}"/>
              </a:ext>
            </a:extLst>
          </xdr:cNvPr>
          <xdr:cNvSpPr/>
        </xdr:nvSpPr>
        <xdr:spPr>
          <a:xfrm>
            <a:off x="3438525" y="3800475"/>
            <a:ext cx="201168" cy="201168"/>
          </a:xfrm>
          <a:prstGeom prst="ellipse">
            <a:avLst/>
          </a:prstGeom>
          <a:no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2" name="CardMembName">
            <a:extLst>
              <a:ext uri="{FF2B5EF4-FFF2-40B4-BE49-F238E27FC236}">
                <a16:creationId xmlns:a16="http://schemas.microsoft.com/office/drawing/2014/main" id="{00000000-0008-0000-0100-00001A010000}"/>
              </a:ext>
            </a:extLst>
          </xdr:cNvPr>
          <xdr:cNvSpPr txBox="1"/>
        </xdr:nvSpPr>
        <xdr:spPr>
          <a:xfrm>
            <a:off x="3648075" y="3790950"/>
            <a:ext cx="10191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100"/>
              <a:t>Fred Fredders</a:t>
            </a:r>
          </a:p>
        </xdr:txBody>
      </xdr:sp>
      <xdr:sp macro="[0]!Kanban_MoveCard" textlink="">
        <xdr:nvSpPr>
          <xdr:cNvPr id="283" name="MoveCardBtn13">
            <a:extLst>
              <a:ext uri="{FF2B5EF4-FFF2-40B4-BE49-F238E27FC236}">
                <a16:creationId xmlns:a16="http://schemas.microsoft.com/office/drawing/2014/main" id="{00000000-0008-0000-0100-00001B010000}"/>
              </a:ext>
            </a:extLst>
          </xdr:cNvPr>
          <xdr:cNvSpPr/>
        </xdr:nvSpPr>
        <xdr:spPr>
          <a:xfrm>
            <a:off x="4589977" y="3082344"/>
            <a:ext cx="165724" cy="182880"/>
          </a:xfrm>
          <a:prstGeom prst="rightArrow">
            <a:avLst/>
          </a:prstGeom>
          <a:ln/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Task_Display">
        <xdr:nvPicPr>
          <xdr:cNvPr id="284" name="ViewCardBtn13">
            <a:extLst>
              <a:ext uri="{FF2B5EF4-FFF2-40B4-BE49-F238E27FC236}">
                <a16:creationId xmlns:a16="http://schemas.microsoft.com/office/drawing/2014/main" id="{00000000-0008-0000-0100-00001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57650" y="3809925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12699</xdr:colOff>
      <xdr:row>23</xdr:row>
      <xdr:rowOff>88900</xdr:rowOff>
    </xdr:from>
    <xdr:to>
      <xdr:col>9</xdr:col>
      <xdr:colOff>1568449</xdr:colOff>
      <xdr:row>28</xdr:row>
      <xdr:rowOff>107950</xdr:rowOff>
    </xdr:to>
    <xdr:grpSp>
      <xdr:nvGrpSpPr>
        <xdr:cNvPr id="285" name="TaskCard17">
          <a:extLst>
            <a:ext uri="{FF2B5EF4-FFF2-40B4-BE49-F238E27FC236}">
              <a16:creationId xmlns:a16="http://schemas.microsoft.com/office/drawing/2014/main" id="{00000000-0008-0000-0100-00001D010000}"/>
            </a:ext>
          </a:extLst>
        </xdr:cNvPr>
        <xdr:cNvGrpSpPr/>
      </xdr:nvGrpSpPr>
      <xdr:grpSpPr>
        <a:xfrm>
          <a:off x="11261724" y="4994275"/>
          <a:ext cx="1555750" cy="971550"/>
          <a:chOff x="3419475" y="3048000"/>
          <a:chExt cx="1421055" cy="971550"/>
        </a:xfrm>
      </xdr:grpSpPr>
      <xdr:sp macro="[0]!Kanban_SelectTask" textlink="">
        <xdr:nvSpPr>
          <xdr:cNvPr id="286" name="CardBack17">
            <a:extLst>
              <a:ext uri="{FF2B5EF4-FFF2-40B4-BE49-F238E27FC236}">
                <a16:creationId xmlns:a16="http://schemas.microsoft.com/office/drawing/2014/main" id="{00000000-0008-0000-0100-00001E010000}"/>
              </a:ext>
            </a:extLst>
          </xdr:cNvPr>
          <xdr:cNvSpPr/>
        </xdr:nvSpPr>
        <xdr:spPr>
          <a:xfrm>
            <a:off x="3419475" y="3048000"/>
            <a:ext cx="1419225" cy="962025"/>
          </a:xfrm>
          <a:prstGeom prst="snip1Rect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45720" tIns="0" bIns="0" rtlCol="0" anchor="t"/>
          <a:lstStyle/>
          <a:p>
            <a:pPr algn="l"/>
            <a:r>
              <a:rPr lang="en-US" sz="1100" b="0" baseline="0"/>
              <a:t>Client Meeting</a:t>
            </a:r>
          </a:p>
          <a:p>
            <a:pPr algn="l"/>
            <a:r>
              <a:rPr lang="en-US" sz="1100" b="0" baseline="0"/>
              <a:t>Fredders Website</a:t>
            </a:r>
          </a:p>
          <a:p>
            <a:pPr algn="l"/>
            <a:r>
              <a:rPr lang="en-US" sz="1100" b="0" baseline="0"/>
              <a:t>Meeting</a:t>
            </a:r>
          </a:p>
        </xdr:txBody>
      </xdr:sp>
      <xdr:sp macro="" textlink="">
        <xdr:nvSpPr>
          <xdr:cNvPr id="287" name="CardMembPic">
            <a:extLst>
              <a:ext uri="{FF2B5EF4-FFF2-40B4-BE49-F238E27FC236}">
                <a16:creationId xmlns:a16="http://schemas.microsoft.com/office/drawing/2014/main" id="{00000000-0008-0000-0100-00001F010000}"/>
              </a:ext>
            </a:extLst>
          </xdr:cNvPr>
          <xdr:cNvSpPr/>
        </xdr:nvSpPr>
        <xdr:spPr>
          <a:xfrm>
            <a:off x="3438525" y="3800475"/>
            <a:ext cx="201168" cy="201168"/>
          </a:xfrm>
          <a:prstGeom prst="ellipse">
            <a:avLst/>
          </a:prstGeom>
          <a:no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" name="CardMembName">
            <a:extLst>
              <a:ext uri="{FF2B5EF4-FFF2-40B4-BE49-F238E27FC236}">
                <a16:creationId xmlns:a16="http://schemas.microsoft.com/office/drawing/2014/main" id="{00000000-0008-0000-0100-000020010000}"/>
              </a:ext>
            </a:extLst>
          </xdr:cNvPr>
          <xdr:cNvSpPr txBox="1"/>
        </xdr:nvSpPr>
        <xdr:spPr>
          <a:xfrm>
            <a:off x="3648075" y="3790950"/>
            <a:ext cx="10191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100"/>
              <a:t>Fred Fredders</a:t>
            </a:r>
          </a:p>
        </xdr:txBody>
      </xdr:sp>
      <xdr:sp macro="[0]!Kanban_MoveCard" textlink="">
        <xdr:nvSpPr>
          <xdr:cNvPr id="289" name="MoveCardBtn17">
            <a:extLst>
              <a:ext uri="{FF2B5EF4-FFF2-40B4-BE49-F238E27FC236}">
                <a16:creationId xmlns:a16="http://schemas.microsoft.com/office/drawing/2014/main" id="{00000000-0008-0000-0100-000021010000}"/>
              </a:ext>
            </a:extLst>
          </xdr:cNvPr>
          <xdr:cNvSpPr/>
        </xdr:nvSpPr>
        <xdr:spPr>
          <a:xfrm>
            <a:off x="4589977" y="3082344"/>
            <a:ext cx="165724" cy="182880"/>
          </a:xfrm>
          <a:prstGeom prst="rightArrow">
            <a:avLst/>
          </a:prstGeom>
          <a:ln/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Task_Display">
        <xdr:nvPicPr>
          <xdr:cNvPr id="290" name="ViewCardBtn17">
            <a:extLst>
              <a:ext uri="{FF2B5EF4-FFF2-40B4-BE49-F238E27FC236}">
                <a16:creationId xmlns:a16="http://schemas.microsoft.com/office/drawing/2014/main" id="{00000000-0008-0000-0100-00002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57650" y="3809925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12699</xdr:colOff>
      <xdr:row>18</xdr:row>
      <xdr:rowOff>44450</xdr:rowOff>
    </xdr:from>
    <xdr:to>
      <xdr:col>8</xdr:col>
      <xdr:colOff>1568449</xdr:colOff>
      <xdr:row>23</xdr:row>
      <xdr:rowOff>63500</xdr:rowOff>
    </xdr:to>
    <xdr:grpSp>
      <xdr:nvGrpSpPr>
        <xdr:cNvPr id="291" name="TaskCard4">
          <a:extLst>
            <a:ext uri="{FF2B5EF4-FFF2-40B4-BE49-F238E27FC236}">
              <a16:creationId xmlns:a16="http://schemas.microsoft.com/office/drawing/2014/main" id="{00000000-0008-0000-0100-000023010000}"/>
            </a:ext>
          </a:extLst>
        </xdr:cNvPr>
        <xdr:cNvGrpSpPr/>
      </xdr:nvGrpSpPr>
      <xdr:grpSpPr>
        <a:xfrm>
          <a:off x="9680574" y="3997325"/>
          <a:ext cx="1555750" cy="971550"/>
          <a:chOff x="3419475" y="3048000"/>
          <a:chExt cx="1421055" cy="971550"/>
        </a:xfrm>
      </xdr:grpSpPr>
      <xdr:sp macro="[0]!Kanban_SelectTask" textlink="">
        <xdr:nvSpPr>
          <xdr:cNvPr id="292" name="CardBack4">
            <a:extLst>
              <a:ext uri="{FF2B5EF4-FFF2-40B4-BE49-F238E27FC236}">
                <a16:creationId xmlns:a16="http://schemas.microsoft.com/office/drawing/2014/main" id="{00000000-0008-0000-0100-000024010000}"/>
              </a:ext>
            </a:extLst>
          </xdr:cNvPr>
          <xdr:cNvSpPr/>
        </xdr:nvSpPr>
        <xdr:spPr>
          <a:xfrm>
            <a:off x="3419475" y="3048000"/>
            <a:ext cx="1419225" cy="962025"/>
          </a:xfrm>
          <a:prstGeom prst="snip1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lIns="45720" tIns="0" bIns="0" rtlCol="0" anchor="t"/>
          <a:lstStyle/>
          <a:p>
            <a:pPr algn="l"/>
            <a:r>
              <a:rPr lang="en-US" sz="1100" b="0" baseline="0"/>
              <a:t>Client Call</a:t>
            </a:r>
          </a:p>
          <a:p>
            <a:pPr algn="l"/>
            <a:r>
              <a:rPr lang="en-US" sz="1100" b="0" baseline="0"/>
              <a:t>Grocery Store Site</a:t>
            </a:r>
          </a:p>
          <a:p>
            <a:pPr algn="l"/>
            <a:r>
              <a:rPr lang="en-US" sz="1100" b="0" baseline="0"/>
              <a:t>Scope</a:t>
            </a:r>
          </a:p>
        </xdr:txBody>
      </xdr:sp>
      <xdr:sp macro="" textlink="">
        <xdr:nvSpPr>
          <xdr:cNvPr id="293" name="CardMembPic">
            <a:extLst>
              <a:ext uri="{FF2B5EF4-FFF2-40B4-BE49-F238E27FC236}">
                <a16:creationId xmlns:a16="http://schemas.microsoft.com/office/drawing/2014/main" id="{00000000-0008-0000-0100-000025010000}"/>
              </a:ext>
            </a:extLst>
          </xdr:cNvPr>
          <xdr:cNvSpPr/>
        </xdr:nvSpPr>
        <xdr:spPr>
          <a:xfrm>
            <a:off x="3438525" y="3800475"/>
            <a:ext cx="201168" cy="201168"/>
          </a:xfrm>
          <a:prstGeom prst="ellipse">
            <a:avLst/>
          </a:prstGeom>
          <a:no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" name="CardMembName">
            <a:extLst>
              <a:ext uri="{FF2B5EF4-FFF2-40B4-BE49-F238E27FC236}">
                <a16:creationId xmlns:a16="http://schemas.microsoft.com/office/drawing/2014/main" id="{00000000-0008-0000-0100-000026010000}"/>
              </a:ext>
            </a:extLst>
          </xdr:cNvPr>
          <xdr:cNvSpPr txBox="1"/>
        </xdr:nvSpPr>
        <xdr:spPr>
          <a:xfrm>
            <a:off x="3648075" y="3790950"/>
            <a:ext cx="10191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100"/>
              <a:t>Mary Poppins</a:t>
            </a:r>
          </a:p>
        </xdr:txBody>
      </xdr:sp>
      <xdr:sp macro="[0]!Kanban_MoveCard" textlink="">
        <xdr:nvSpPr>
          <xdr:cNvPr id="295" name="MoveCardBtn4">
            <a:extLst>
              <a:ext uri="{FF2B5EF4-FFF2-40B4-BE49-F238E27FC236}">
                <a16:creationId xmlns:a16="http://schemas.microsoft.com/office/drawing/2014/main" id="{00000000-0008-0000-0100-000027010000}"/>
              </a:ext>
            </a:extLst>
          </xdr:cNvPr>
          <xdr:cNvSpPr/>
        </xdr:nvSpPr>
        <xdr:spPr>
          <a:xfrm>
            <a:off x="4589977" y="3082344"/>
            <a:ext cx="165724" cy="182880"/>
          </a:xfrm>
          <a:prstGeom prst="rightArrow">
            <a:avLst/>
          </a:prstGeom>
          <a:ln/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Task_Display">
        <xdr:nvPicPr>
          <xdr:cNvPr id="296" name="ViewCardBtn4">
            <a:extLst>
              <a:ext uri="{FF2B5EF4-FFF2-40B4-BE49-F238E27FC236}">
                <a16:creationId xmlns:a16="http://schemas.microsoft.com/office/drawing/2014/main" id="{00000000-0008-0000-0100-000028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57650" y="3809925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12699</xdr:colOff>
      <xdr:row>23</xdr:row>
      <xdr:rowOff>88900</xdr:rowOff>
    </xdr:from>
    <xdr:to>
      <xdr:col>8</xdr:col>
      <xdr:colOff>1568449</xdr:colOff>
      <xdr:row>28</xdr:row>
      <xdr:rowOff>107950</xdr:rowOff>
    </xdr:to>
    <xdr:grpSp>
      <xdr:nvGrpSpPr>
        <xdr:cNvPr id="297" name="TaskCard8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GrpSpPr/>
      </xdr:nvGrpSpPr>
      <xdr:grpSpPr>
        <a:xfrm>
          <a:off x="9680574" y="4994275"/>
          <a:ext cx="1555750" cy="971550"/>
          <a:chOff x="3419475" y="3048000"/>
          <a:chExt cx="1421055" cy="971550"/>
        </a:xfrm>
      </xdr:grpSpPr>
      <xdr:sp macro="[0]!Kanban_SelectTask" textlink="">
        <xdr:nvSpPr>
          <xdr:cNvPr id="298" name="CardBack8">
            <a:extLst>
              <a:ext uri="{FF2B5EF4-FFF2-40B4-BE49-F238E27FC236}">
                <a16:creationId xmlns:a16="http://schemas.microsoft.com/office/drawing/2014/main" id="{00000000-0008-0000-0100-00002A010000}"/>
              </a:ext>
            </a:extLst>
          </xdr:cNvPr>
          <xdr:cNvSpPr/>
        </xdr:nvSpPr>
        <xdr:spPr>
          <a:xfrm>
            <a:off x="3419475" y="3048000"/>
            <a:ext cx="1419225" cy="962025"/>
          </a:xfrm>
          <a:prstGeom prst="snip1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lIns="45720" tIns="0" bIns="0" rtlCol="0" anchor="t"/>
          <a:lstStyle/>
          <a:p>
            <a:pPr algn="l"/>
            <a:r>
              <a:rPr lang="en-US" sz="1100" b="0" baseline="0"/>
              <a:t>App Scope</a:t>
            </a:r>
          </a:p>
          <a:p>
            <a:pPr algn="l"/>
            <a:r>
              <a:rPr lang="en-US" sz="1100" b="0" baseline="0"/>
              <a:t>Grocery Store Site</a:t>
            </a:r>
          </a:p>
          <a:p>
            <a:pPr algn="l"/>
            <a:r>
              <a:rPr lang="en-US" sz="1100" b="0" baseline="0"/>
              <a:t>Development</a:t>
            </a:r>
          </a:p>
        </xdr:txBody>
      </xdr:sp>
      <xdr:sp macro="" textlink="">
        <xdr:nvSpPr>
          <xdr:cNvPr id="299" name="CardMembPic">
            <a:extLst>
              <a:ext uri="{FF2B5EF4-FFF2-40B4-BE49-F238E27FC236}">
                <a16:creationId xmlns:a16="http://schemas.microsoft.com/office/drawing/2014/main" id="{00000000-0008-0000-0100-00002B010000}"/>
              </a:ext>
            </a:extLst>
          </xdr:cNvPr>
          <xdr:cNvSpPr/>
        </xdr:nvSpPr>
        <xdr:spPr>
          <a:xfrm>
            <a:off x="3438525" y="3800475"/>
            <a:ext cx="201168" cy="201168"/>
          </a:xfrm>
          <a:prstGeom prst="ellipse">
            <a:avLst/>
          </a:prstGeom>
          <a:no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" name="CardMembName">
            <a:extLst>
              <a:ext uri="{FF2B5EF4-FFF2-40B4-BE49-F238E27FC236}">
                <a16:creationId xmlns:a16="http://schemas.microsoft.com/office/drawing/2014/main" id="{00000000-0008-0000-0100-00002C010000}"/>
              </a:ext>
            </a:extLst>
          </xdr:cNvPr>
          <xdr:cNvSpPr txBox="1"/>
        </xdr:nvSpPr>
        <xdr:spPr>
          <a:xfrm>
            <a:off x="3648075" y="3790950"/>
            <a:ext cx="10191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100"/>
              <a:t>Mary Poppins</a:t>
            </a:r>
          </a:p>
        </xdr:txBody>
      </xdr:sp>
      <xdr:sp macro="[0]!Kanban_MoveCard" textlink="">
        <xdr:nvSpPr>
          <xdr:cNvPr id="301" name="MoveCardBtn8">
            <a:extLst>
              <a:ext uri="{FF2B5EF4-FFF2-40B4-BE49-F238E27FC236}">
                <a16:creationId xmlns:a16="http://schemas.microsoft.com/office/drawing/2014/main" id="{00000000-0008-0000-0100-00002D010000}"/>
              </a:ext>
            </a:extLst>
          </xdr:cNvPr>
          <xdr:cNvSpPr/>
        </xdr:nvSpPr>
        <xdr:spPr>
          <a:xfrm>
            <a:off x="4589977" y="3082344"/>
            <a:ext cx="165724" cy="182880"/>
          </a:xfrm>
          <a:prstGeom prst="rightArrow">
            <a:avLst/>
          </a:prstGeom>
          <a:ln/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Task_Display">
        <xdr:nvPicPr>
          <xdr:cNvPr id="302" name="ViewCardBtn8">
            <a:extLst>
              <a:ext uri="{FF2B5EF4-FFF2-40B4-BE49-F238E27FC236}">
                <a16:creationId xmlns:a16="http://schemas.microsoft.com/office/drawing/2014/main" id="{00000000-0008-0000-0100-00002E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57650" y="3809925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12699</xdr:colOff>
      <xdr:row>28</xdr:row>
      <xdr:rowOff>133350</xdr:rowOff>
    </xdr:from>
    <xdr:to>
      <xdr:col>7</xdr:col>
      <xdr:colOff>1568449</xdr:colOff>
      <xdr:row>33</xdr:row>
      <xdr:rowOff>152400</xdr:rowOff>
    </xdr:to>
    <xdr:grpSp>
      <xdr:nvGrpSpPr>
        <xdr:cNvPr id="303" name="TaskCard12">
          <a:extLst>
            <a:ext uri="{FF2B5EF4-FFF2-40B4-BE49-F238E27FC236}">
              <a16:creationId xmlns:a16="http://schemas.microsoft.com/office/drawing/2014/main" id="{00000000-0008-0000-0100-00002F010000}"/>
            </a:ext>
          </a:extLst>
        </xdr:cNvPr>
        <xdr:cNvGrpSpPr/>
      </xdr:nvGrpSpPr>
      <xdr:grpSpPr>
        <a:xfrm>
          <a:off x="8099424" y="5991225"/>
          <a:ext cx="1555750" cy="971550"/>
          <a:chOff x="3419475" y="3048000"/>
          <a:chExt cx="1421055" cy="971550"/>
        </a:xfrm>
      </xdr:grpSpPr>
      <xdr:sp macro="[0]!Kanban_SelectTask" textlink="">
        <xdr:nvSpPr>
          <xdr:cNvPr id="304" name="CardBack12">
            <a:extLst>
              <a:ext uri="{FF2B5EF4-FFF2-40B4-BE49-F238E27FC236}">
                <a16:creationId xmlns:a16="http://schemas.microsoft.com/office/drawing/2014/main" id="{00000000-0008-0000-0100-000030010000}"/>
              </a:ext>
            </a:extLst>
          </xdr:cNvPr>
          <xdr:cNvSpPr/>
        </xdr:nvSpPr>
        <xdr:spPr>
          <a:xfrm>
            <a:off x="3419475" y="3048000"/>
            <a:ext cx="1419225" cy="962025"/>
          </a:xfrm>
          <a:prstGeom prst="snip1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lIns="45720" tIns="0" bIns="0" rtlCol="0" anchor="t"/>
          <a:lstStyle/>
          <a:p>
            <a:pPr algn="l"/>
            <a:r>
              <a:rPr lang="en-US" sz="1100" b="0" baseline="0"/>
              <a:t>Project Scope</a:t>
            </a:r>
          </a:p>
          <a:p>
            <a:pPr algn="l"/>
            <a:r>
              <a:rPr lang="en-US" sz="1100" b="0" baseline="0"/>
              <a:t>Grocery Store Site</a:t>
            </a:r>
          </a:p>
          <a:p>
            <a:pPr algn="l"/>
            <a:r>
              <a:rPr lang="en-US" sz="1100" b="0" baseline="0"/>
              <a:t>Call</a:t>
            </a:r>
          </a:p>
        </xdr:txBody>
      </xdr:sp>
      <xdr:sp macro="" textlink="">
        <xdr:nvSpPr>
          <xdr:cNvPr id="305" name="CardMembPic">
            <a:extLst>
              <a:ext uri="{FF2B5EF4-FFF2-40B4-BE49-F238E27FC236}">
                <a16:creationId xmlns:a16="http://schemas.microsoft.com/office/drawing/2014/main" id="{00000000-0008-0000-0100-000031010000}"/>
              </a:ext>
            </a:extLst>
          </xdr:cNvPr>
          <xdr:cNvSpPr/>
        </xdr:nvSpPr>
        <xdr:spPr>
          <a:xfrm>
            <a:off x="3438525" y="3800475"/>
            <a:ext cx="201168" cy="201168"/>
          </a:xfrm>
          <a:prstGeom prst="ellipse">
            <a:avLst/>
          </a:prstGeom>
          <a:no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6" name="CardMembName">
            <a:extLst>
              <a:ext uri="{FF2B5EF4-FFF2-40B4-BE49-F238E27FC236}">
                <a16:creationId xmlns:a16="http://schemas.microsoft.com/office/drawing/2014/main" id="{00000000-0008-0000-0100-000032010000}"/>
              </a:ext>
            </a:extLst>
          </xdr:cNvPr>
          <xdr:cNvSpPr txBox="1"/>
        </xdr:nvSpPr>
        <xdr:spPr>
          <a:xfrm>
            <a:off x="3648075" y="3790950"/>
            <a:ext cx="10191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100"/>
              <a:t>Mary Poppins</a:t>
            </a:r>
          </a:p>
        </xdr:txBody>
      </xdr:sp>
      <xdr:sp macro="[0]!Kanban_MoveCard" textlink="">
        <xdr:nvSpPr>
          <xdr:cNvPr id="307" name="MoveCardBtn12">
            <a:extLst>
              <a:ext uri="{FF2B5EF4-FFF2-40B4-BE49-F238E27FC236}">
                <a16:creationId xmlns:a16="http://schemas.microsoft.com/office/drawing/2014/main" id="{00000000-0008-0000-0100-000033010000}"/>
              </a:ext>
            </a:extLst>
          </xdr:cNvPr>
          <xdr:cNvSpPr/>
        </xdr:nvSpPr>
        <xdr:spPr>
          <a:xfrm>
            <a:off x="4589977" y="3082344"/>
            <a:ext cx="165724" cy="182880"/>
          </a:xfrm>
          <a:prstGeom prst="rightArrow">
            <a:avLst/>
          </a:prstGeom>
          <a:ln/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Task_Display">
        <xdr:nvPicPr>
          <xdr:cNvPr id="308" name="ViewCardBtn12">
            <a:extLst>
              <a:ext uri="{FF2B5EF4-FFF2-40B4-BE49-F238E27FC236}">
                <a16:creationId xmlns:a16="http://schemas.microsoft.com/office/drawing/2014/main" id="{00000000-0008-0000-0100-00003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57650" y="3809925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12699</xdr:colOff>
      <xdr:row>33</xdr:row>
      <xdr:rowOff>177800</xdr:rowOff>
    </xdr:from>
    <xdr:to>
      <xdr:col>5</xdr:col>
      <xdr:colOff>1568449</xdr:colOff>
      <xdr:row>39</xdr:row>
      <xdr:rowOff>6350</xdr:rowOff>
    </xdr:to>
    <xdr:grpSp>
      <xdr:nvGrpSpPr>
        <xdr:cNvPr id="309" name="TaskCard14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GrpSpPr/>
      </xdr:nvGrpSpPr>
      <xdr:grpSpPr>
        <a:xfrm>
          <a:off x="4937124" y="6988175"/>
          <a:ext cx="1555750" cy="971550"/>
          <a:chOff x="3419475" y="3048000"/>
          <a:chExt cx="1421055" cy="971550"/>
        </a:xfrm>
      </xdr:grpSpPr>
      <xdr:sp macro="[0]!Kanban_SelectTask" textlink="">
        <xdr:nvSpPr>
          <xdr:cNvPr id="310" name="CardBack14">
            <a:extLst>
              <a:ext uri="{FF2B5EF4-FFF2-40B4-BE49-F238E27FC236}">
                <a16:creationId xmlns:a16="http://schemas.microsoft.com/office/drawing/2014/main" id="{00000000-0008-0000-0100-000036010000}"/>
              </a:ext>
            </a:extLst>
          </xdr:cNvPr>
          <xdr:cNvSpPr/>
        </xdr:nvSpPr>
        <xdr:spPr>
          <a:xfrm>
            <a:off x="3419475" y="3048000"/>
            <a:ext cx="1419225" cy="962025"/>
          </a:xfrm>
          <a:prstGeom prst="snip1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lIns="45720" tIns="0" bIns="0" rtlCol="0" anchor="t"/>
          <a:lstStyle/>
          <a:p>
            <a:pPr algn="l"/>
            <a:r>
              <a:rPr lang="en-US" sz="1100" b="0" baseline="0"/>
              <a:t>App Scope</a:t>
            </a:r>
          </a:p>
          <a:p>
            <a:pPr algn="l"/>
            <a:r>
              <a:rPr lang="en-US" sz="1100" b="0" baseline="0"/>
              <a:t>Johns Custom App</a:t>
            </a:r>
          </a:p>
          <a:p>
            <a:pPr algn="l"/>
            <a:r>
              <a:rPr lang="en-US" sz="1100" b="0" baseline="0"/>
              <a:t>Development</a:t>
            </a:r>
          </a:p>
        </xdr:txBody>
      </xdr:sp>
      <xdr:sp macro="" textlink="">
        <xdr:nvSpPr>
          <xdr:cNvPr id="311" name="CardMembPic">
            <a:extLst>
              <a:ext uri="{FF2B5EF4-FFF2-40B4-BE49-F238E27FC236}">
                <a16:creationId xmlns:a16="http://schemas.microsoft.com/office/drawing/2014/main" id="{00000000-0008-0000-0100-000037010000}"/>
              </a:ext>
            </a:extLst>
          </xdr:cNvPr>
          <xdr:cNvSpPr/>
        </xdr:nvSpPr>
        <xdr:spPr>
          <a:xfrm>
            <a:off x="3438525" y="3800475"/>
            <a:ext cx="201168" cy="201168"/>
          </a:xfrm>
          <a:prstGeom prst="ellipse">
            <a:avLst/>
          </a:prstGeom>
          <a:no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2" name="CardMembName">
            <a:extLst>
              <a:ext uri="{FF2B5EF4-FFF2-40B4-BE49-F238E27FC236}">
                <a16:creationId xmlns:a16="http://schemas.microsoft.com/office/drawing/2014/main" id="{00000000-0008-0000-0100-000038010000}"/>
              </a:ext>
            </a:extLst>
          </xdr:cNvPr>
          <xdr:cNvSpPr txBox="1"/>
        </xdr:nvSpPr>
        <xdr:spPr>
          <a:xfrm>
            <a:off x="3648075" y="3790950"/>
            <a:ext cx="10191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100"/>
              <a:t>Lisa James</a:t>
            </a:r>
          </a:p>
        </xdr:txBody>
      </xdr:sp>
      <xdr:sp macro="[0]!Kanban_MoveCard" textlink="">
        <xdr:nvSpPr>
          <xdr:cNvPr id="313" name="MoveCardBtn14">
            <a:extLst>
              <a:ext uri="{FF2B5EF4-FFF2-40B4-BE49-F238E27FC236}">
                <a16:creationId xmlns:a16="http://schemas.microsoft.com/office/drawing/2014/main" id="{00000000-0008-0000-0100-000039010000}"/>
              </a:ext>
            </a:extLst>
          </xdr:cNvPr>
          <xdr:cNvSpPr/>
        </xdr:nvSpPr>
        <xdr:spPr>
          <a:xfrm>
            <a:off x="4589977" y="3082344"/>
            <a:ext cx="165724" cy="182880"/>
          </a:xfrm>
          <a:prstGeom prst="rightArrow">
            <a:avLst/>
          </a:prstGeom>
          <a:ln/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Task_Display">
        <xdr:nvPicPr>
          <xdr:cNvPr id="314" name="ViewCardBtn14">
            <a:extLst>
              <a:ext uri="{FF2B5EF4-FFF2-40B4-BE49-F238E27FC236}">
                <a16:creationId xmlns:a16="http://schemas.microsoft.com/office/drawing/2014/main" id="{00000000-0008-0000-0100-00003A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57650" y="3809925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12699</xdr:colOff>
      <xdr:row>28</xdr:row>
      <xdr:rowOff>133350</xdr:rowOff>
    </xdr:from>
    <xdr:to>
      <xdr:col>9</xdr:col>
      <xdr:colOff>1568449</xdr:colOff>
      <xdr:row>33</xdr:row>
      <xdr:rowOff>152400</xdr:rowOff>
    </xdr:to>
    <xdr:grpSp>
      <xdr:nvGrpSpPr>
        <xdr:cNvPr id="315" name="TaskCard18">
          <a:extLst>
            <a:ext uri="{FF2B5EF4-FFF2-40B4-BE49-F238E27FC236}">
              <a16:creationId xmlns:a16="http://schemas.microsoft.com/office/drawing/2014/main" id="{00000000-0008-0000-0100-00003B010000}"/>
            </a:ext>
          </a:extLst>
        </xdr:cNvPr>
        <xdr:cNvGrpSpPr/>
      </xdr:nvGrpSpPr>
      <xdr:grpSpPr>
        <a:xfrm>
          <a:off x="11261724" y="5991225"/>
          <a:ext cx="1555750" cy="971550"/>
          <a:chOff x="3419475" y="3048000"/>
          <a:chExt cx="1421055" cy="971550"/>
        </a:xfrm>
      </xdr:grpSpPr>
      <xdr:sp macro="[0]!Kanban_SelectTask" textlink="">
        <xdr:nvSpPr>
          <xdr:cNvPr id="316" name="CardBack18">
            <a:extLst>
              <a:ext uri="{FF2B5EF4-FFF2-40B4-BE49-F238E27FC236}">
                <a16:creationId xmlns:a16="http://schemas.microsoft.com/office/drawing/2014/main" id="{00000000-0008-0000-0100-00003C010000}"/>
              </a:ext>
            </a:extLst>
          </xdr:cNvPr>
          <xdr:cNvSpPr/>
        </xdr:nvSpPr>
        <xdr:spPr>
          <a:xfrm>
            <a:off x="3419475" y="3048000"/>
            <a:ext cx="1419225" cy="962025"/>
          </a:xfrm>
          <a:prstGeom prst="snip1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lIns="45720" tIns="0" bIns="0" rtlCol="0" anchor="t"/>
          <a:lstStyle/>
          <a:p>
            <a:pPr algn="l"/>
            <a:r>
              <a:rPr lang="en-US" sz="1100" b="0" baseline="0"/>
              <a:t>Project Scope</a:t>
            </a:r>
          </a:p>
          <a:p>
            <a:pPr algn="l"/>
            <a:r>
              <a:rPr lang="en-US" sz="1100" b="0" baseline="0"/>
              <a:t>Johns Custom App</a:t>
            </a:r>
          </a:p>
          <a:p>
            <a:pPr algn="l"/>
            <a:r>
              <a:rPr lang="en-US" sz="1100" b="0" baseline="0"/>
              <a:t>Call</a:t>
            </a:r>
          </a:p>
        </xdr:txBody>
      </xdr:sp>
      <xdr:sp macro="" textlink="">
        <xdr:nvSpPr>
          <xdr:cNvPr id="317" name="CardMembPic">
            <a:extLst>
              <a:ext uri="{FF2B5EF4-FFF2-40B4-BE49-F238E27FC236}">
                <a16:creationId xmlns:a16="http://schemas.microsoft.com/office/drawing/2014/main" id="{00000000-0008-0000-0100-00003D010000}"/>
              </a:ext>
            </a:extLst>
          </xdr:cNvPr>
          <xdr:cNvSpPr/>
        </xdr:nvSpPr>
        <xdr:spPr>
          <a:xfrm>
            <a:off x="3438525" y="3800475"/>
            <a:ext cx="201168" cy="201168"/>
          </a:xfrm>
          <a:prstGeom prst="ellipse">
            <a:avLst/>
          </a:prstGeom>
          <a:no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8" name="CardMembName">
            <a:extLst>
              <a:ext uri="{FF2B5EF4-FFF2-40B4-BE49-F238E27FC236}">
                <a16:creationId xmlns:a16="http://schemas.microsoft.com/office/drawing/2014/main" id="{00000000-0008-0000-0100-00003E010000}"/>
              </a:ext>
            </a:extLst>
          </xdr:cNvPr>
          <xdr:cNvSpPr txBox="1"/>
        </xdr:nvSpPr>
        <xdr:spPr>
          <a:xfrm>
            <a:off x="3648075" y="3790950"/>
            <a:ext cx="10191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100"/>
              <a:t>Lisa James</a:t>
            </a:r>
          </a:p>
        </xdr:txBody>
      </xdr:sp>
      <xdr:sp macro="[0]!Kanban_MoveCard" textlink="">
        <xdr:nvSpPr>
          <xdr:cNvPr id="319" name="MoveCardBtn18">
            <a:extLst>
              <a:ext uri="{FF2B5EF4-FFF2-40B4-BE49-F238E27FC236}">
                <a16:creationId xmlns:a16="http://schemas.microsoft.com/office/drawing/2014/main" id="{00000000-0008-0000-0100-00003F010000}"/>
              </a:ext>
            </a:extLst>
          </xdr:cNvPr>
          <xdr:cNvSpPr/>
        </xdr:nvSpPr>
        <xdr:spPr>
          <a:xfrm>
            <a:off x="4589977" y="3082344"/>
            <a:ext cx="165724" cy="182880"/>
          </a:xfrm>
          <a:prstGeom prst="rightArrow">
            <a:avLst/>
          </a:prstGeom>
          <a:ln/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Task_Display">
        <xdr:nvPicPr>
          <xdr:cNvPr id="320" name="ViewCardBtn18">
            <a:extLst>
              <a:ext uri="{FF2B5EF4-FFF2-40B4-BE49-F238E27FC236}">
                <a16:creationId xmlns:a16="http://schemas.microsoft.com/office/drawing/2014/main" id="{00000000-0008-0000-0100-00004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57650" y="3809925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1409700</xdr:colOff>
      <xdr:row>0</xdr:row>
      <xdr:rowOff>123825</xdr:rowOff>
    </xdr:from>
    <xdr:to>
      <xdr:col>12</xdr:col>
      <xdr:colOff>542925</xdr:colOff>
      <xdr:row>0</xdr:row>
      <xdr:rowOff>438150</xdr:rowOff>
    </xdr:to>
    <xdr:grpSp>
      <xdr:nvGrpSpPr>
        <xdr:cNvPr id="174" name="Group 17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GrpSpPr/>
      </xdr:nvGrpSpPr>
      <xdr:grpSpPr>
        <a:xfrm>
          <a:off x="12658725" y="123825"/>
          <a:ext cx="1619250" cy="314325"/>
          <a:chOff x="11809686" y="152400"/>
          <a:chExt cx="1621878" cy="314325"/>
        </a:xfrm>
      </xdr:grpSpPr>
      <xdr:sp macro="" textlink="">
        <xdr:nvSpPr>
          <xdr:cNvPr id="175" name="Rounded Rectangle 1">
            <a:extLst>
              <a:ext uri="{FF2B5EF4-FFF2-40B4-BE49-F238E27FC236}">
                <a16:creationId xmlns:a16="http://schemas.microsoft.com/office/drawing/2014/main" id="{00000000-0008-0000-0100-0000AF000000}"/>
              </a:ext>
            </a:extLst>
          </xdr:cNvPr>
          <xdr:cNvSpPr/>
        </xdr:nvSpPr>
        <xdr:spPr>
          <a:xfrm>
            <a:off x="11809686" y="152400"/>
            <a:ext cx="1621878" cy="314325"/>
          </a:xfrm>
          <a:prstGeom prst="roundRect">
            <a:avLst/>
          </a:prstGeom>
          <a:solidFill>
            <a:srgbClr val="EA0000"/>
          </a:soli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>
                <a:solidFill>
                  <a:schemeClr val="bg1"/>
                </a:solidFill>
              </a:rPr>
              <a:t>Watch Training Video</a:t>
            </a:r>
          </a:p>
        </xdr:txBody>
      </xdr:sp>
      <xdr:sp macro="" textlink="">
        <xdr:nvSpPr>
          <xdr:cNvPr id="176" name="Isosceles Triangle 175">
            <a:extLst>
              <a:ext uri="{FF2B5EF4-FFF2-40B4-BE49-F238E27FC236}">
                <a16:creationId xmlns:a16="http://schemas.microsoft.com/office/drawing/2014/main" id="{00000000-0008-0000-0100-0000B0000000}"/>
              </a:ext>
            </a:extLst>
          </xdr:cNvPr>
          <xdr:cNvSpPr/>
        </xdr:nvSpPr>
        <xdr:spPr>
          <a:xfrm rot="5400000">
            <a:off x="11871724" y="227266"/>
            <a:ext cx="164592" cy="164592"/>
          </a:xfrm>
          <a:prstGeom prst="triangle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11</xdr:col>
      <xdr:colOff>571500</xdr:colOff>
      <xdr:row>12</xdr:row>
      <xdr:rowOff>19050</xdr:rowOff>
    </xdr:from>
    <xdr:to>
      <xdr:col>19</xdr:col>
      <xdr:colOff>266700</xdr:colOff>
      <xdr:row>37</xdr:row>
      <xdr:rowOff>123825</xdr:rowOff>
    </xdr:to>
    <xdr:pic>
      <xdr:nvPicPr>
        <xdr:cNvPr id="189" name="Picture 18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8D750F9-F647-40B2-BB30-82FF58478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77900" y="2828925"/>
          <a:ext cx="4762500" cy="4867275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Metro">
      <a:dk1>
        <a:sysClr val="windowText" lastClr="000000"/>
      </a:dk1>
      <a:lt1>
        <a:sysClr val="window" lastClr="FFFFFF"/>
      </a:lt1>
      <a:dk2>
        <a:srgbClr val="4E5B6F"/>
      </a:dk2>
      <a:lt2>
        <a:srgbClr val="D6ECFF"/>
      </a:lt2>
      <a:accent1>
        <a:srgbClr val="7FD13B"/>
      </a:accent1>
      <a:accent2>
        <a:srgbClr val="EA157A"/>
      </a:accent2>
      <a:accent3>
        <a:srgbClr val="FEB80A"/>
      </a:accent3>
      <a:accent4>
        <a:srgbClr val="00ADDC"/>
      </a:accent4>
      <a:accent5>
        <a:srgbClr val="738AC8"/>
      </a:accent5>
      <a:accent6>
        <a:srgbClr val="1AB39F"/>
      </a:accent6>
      <a:hlink>
        <a:srgbClr val="EB8803"/>
      </a:hlink>
      <a:folHlink>
        <a:srgbClr val="5F7791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Mary@Gmail.com" TargetMode="External"/><Relationship Id="rId2" Type="http://schemas.openxmlformats.org/officeDocument/2006/relationships/hyperlink" Target="mailto:Lisa@Gmail.com" TargetMode="External"/><Relationship Id="rId1" Type="http://schemas.openxmlformats.org/officeDocument/2006/relationships/hyperlink" Target="mailto:Fred@gmail.com" TargetMode="External"/><Relationship Id="rId5" Type="http://schemas.openxmlformats.org/officeDocument/2006/relationships/hyperlink" Target="mailto:David@Gmai.com" TargetMode="External"/><Relationship Id="rId4" Type="http://schemas.openxmlformats.org/officeDocument/2006/relationships/hyperlink" Target="mailto:Harold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min"/>
  <dimension ref="A1:O35"/>
  <sheetViews>
    <sheetView workbookViewId="0">
      <selection activeCell="K9" sqref="K9"/>
    </sheetView>
  </sheetViews>
  <sheetFormatPr defaultRowHeight="15" x14ac:dyDescent="0.25"/>
  <cols>
    <col min="1" max="1" width="9.140625" customWidth="1"/>
    <col min="2" max="2" width="12.5703125" bestFit="1" customWidth="1"/>
    <col min="3" max="3" width="8.5703125" customWidth="1"/>
    <col min="4" max="4" width="14.85546875" bestFit="1" customWidth="1"/>
    <col min="5" max="5" width="11.85546875" customWidth="1"/>
    <col min="6" max="6" width="10.140625" bestFit="1" customWidth="1"/>
    <col min="7" max="7" width="7" bestFit="1" customWidth="1"/>
    <col min="8" max="8" width="12" bestFit="1" customWidth="1"/>
  </cols>
  <sheetData>
    <row r="1" spans="1:15" ht="36.75" x14ac:dyDescent="0.45">
      <c r="A1" s="66" t="s">
        <v>20</v>
      </c>
      <c r="B1" s="66"/>
      <c r="C1" s="66"/>
      <c r="D1" s="66"/>
      <c r="E1" s="66"/>
      <c r="F1" s="66"/>
      <c r="G1" s="66"/>
      <c r="H1" s="66"/>
      <c r="I1" s="66"/>
      <c r="J1" s="11"/>
      <c r="K1" s="11"/>
      <c r="L1" s="11"/>
      <c r="M1" s="11"/>
      <c r="N1" s="11"/>
      <c r="O1" s="11"/>
    </row>
    <row r="2" spans="1:15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 x14ac:dyDescent="0.25">
      <c r="A3" s="4"/>
      <c r="B3" s="61" t="s">
        <v>35</v>
      </c>
      <c r="C3" s="62"/>
      <c r="D3" s="63"/>
      <c r="E3" s="64"/>
      <c r="F3" s="64"/>
      <c r="G3" s="64"/>
      <c r="H3" s="65"/>
      <c r="I3" s="4"/>
      <c r="J3" s="4"/>
      <c r="K3" s="4"/>
      <c r="L3" s="4"/>
      <c r="M3" s="4"/>
      <c r="N3" s="4"/>
      <c r="O3" s="4"/>
    </row>
    <row r="4" spans="1:15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5" x14ac:dyDescent="0.25">
      <c r="A5" s="4"/>
      <c r="B5" s="17" t="s">
        <v>51</v>
      </c>
      <c r="C5" s="4"/>
      <c r="D5" s="17" t="s">
        <v>32</v>
      </c>
      <c r="E5" s="4"/>
      <c r="F5" s="18" t="s">
        <v>33</v>
      </c>
      <c r="G5" s="19" t="s">
        <v>34</v>
      </c>
      <c r="H5" s="4"/>
      <c r="I5" s="4"/>
      <c r="J5" s="4"/>
      <c r="K5" s="4"/>
      <c r="L5" s="4"/>
      <c r="M5" s="4"/>
      <c r="N5" s="4"/>
      <c r="O5" s="4"/>
    </row>
    <row r="6" spans="1:15" x14ac:dyDescent="0.25">
      <c r="A6" s="4"/>
      <c r="B6" s="14" t="s">
        <v>77</v>
      </c>
      <c r="C6" s="4"/>
      <c r="D6" s="14" t="s">
        <v>110</v>
      </c>
      <c r="E6" s="4"/>
      <c r="F6" s="33" t="s">
        <v>54</v>
      </c>
      <c r="G6" s="55">
        <v>25</v>
      </c>
      <c r="H6" s="4"/>
      <c r="I6" s="4"/>
      <c r="J6" s="4"/>
      <c r="K6" s="4"/>
      <c r="L6" s="4"/>
      <c r="M6" s="4"/>
      <c r="N6" s="4"/>
      <c r="O6" s="4"/>
    </row>
    <row r="7" spans="1:15" x14ac:dyDescent="0.25">
      <c r="A7" s="4"/>
      <c r="B7" s="15" t="s">
        <v>7</v>
      </c>
      <c r="C7" s="4"/>
      <c r="D7" s="15" t="s">
        <v>21</v>
      </c>
      <c r="E7" s="4"/>
      <c r="F7" s="34" t="s">
        <v>1</v>
      </c>
      <c r="G7" s="51">
        <v>24</v>
      </c>
      <c r="H7" s="4"/>
      <c r="I7" s="4"/>
      <c r="J7" s="4"/>
      <c r="K7" s="4"/>
      <c r="L7" s="4"/>
      <c r="M7" s="4"/>
      <c r="N7" s="4"/>
      <c r="O7" s="4"/>
    </row>
    <row r="8" spans="1:15" x14ac:dyDescent="0.25">
      <c r="A8" s="4"/>
      <c r="B8" s="15" t="s">
        <v>8</v>
      </c>
      <c r="C8" s="4"/>
      <c r="D8" s="15" t="s">
        <v>22</v>
      </c>
      <c r="E8" s="4"/>
      <c r="F8" s="35" t="s">
        <v>2</v>
      </c>
      <c r="G8" s="52">
        <v>25</v>
      </c>
      <c r="H8" s="4"/>
      <c r="I8" s="4"/>
      <c r="J8" s="4"/>
      <c r="K8" s="4"/>
      <c r="L8" s="4"/>
      <c r="M8" s="4"/>
      <c r="N8" s="4"/>
      <c r="O8" s="4"/>
    </row>
    <row r="9" spans="1:15" x14ac:dyDescent="0.25">
      <c r="A9" s="4"/>
      <c r="B9" s="15" t="s">
        <v>53</v>
      </c>
      <c r="C9" s="4"/>
      <c r="D9" s="15" t="s">
        <v>23</v>
      </c>
      <c r="E9" s="4"/>
      <c r="F9" s="35" t="s">
        <v>3</v>
      </c>
      <c r="G9" s="53">
        <v>23</v>
      </c>
      <c r="H9" s="4"/>
      <c r="I9" s="4"/>
      <c r="J9" s="4"/>
      <c r="K9" s="4"/>
      <c r="L9" s="4"/>
      <c r="M9" s="4"/>
      <c r="N9" s="4"/>
      <c r="O9" s="4"/>
    </row>
    <row r="10" spans="1:15" x14ac:dyDescent="0.25">
      <c r="A10" s="4"/>
      <c r="B10" s="15" t="s">
        <v>9</v>
      </c>
      <c r="C10" s="4"/>
      <c r="D10" s="15" t="s">
        <v>90</v>
      </c>
      <c r="E10" s="4"/>
      <c r="F10" s="36" t="s">
        <v>4</v>
      </c>
      <c r="G10" s="54">
        <v>26</v>
      </c>
      <c r="H10" s="4"/>
      <c r="I10" s="4"/>
      <c r="J10" s="4"/>
      <c r="K10" s="4"/>
      <c r="L10" s="4"/>
      <c r="M10" s="4"/>
      <c r="N10" s="4"/>
      <c r="O10" s="4"/>
    </row>
    <row r="11" spans="1:15" x14ac:dyDescent="0.25">
      <c r="A11" s="4"/>
      <c r="B11" s="16" t="s">
        <v>113</v>
      </c>
      <c r="C11" s="4"/>
      <c r="D11" s="16" t="s">
        <v>109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</row>
    <row r="12" spans="1:15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</row>
    <row r="13" spans="1:15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</row>
    <row r="14" spans="1:15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</row>
    <row r="15" spans="1:15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</row>
    <row r="16" spans="1:15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</row>
    <row r="17" spans="1:15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</row>
    <row r="18" spans="1:15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</row>
    <row r="19" spans="1:15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</row>
    <row r="20" spans="1:15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</row>
    <row r="21" spans="1:15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</row>
    <row r="22" spans="1:15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</row>
    <row r="23" spans="1:15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</row>
    <row r="24" spans="1:15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</row>
    <row r="25" spans="1:15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</row>
    <row r="26" spans="1:15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</row>
    <row r="27" spans="1:15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</row>
    <row r="28" spans="1:15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</row>
    <row r="29" spans="1:15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</row>
    <row r="30" spans="1:15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</row>
    <row r="31" spans="1:15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</row>
    <row r="32" spans="1:15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</row>
    <row r="33" spans="1:15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</row>
    <row r="34" spans="1:15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</row>
    <row r="35" spans="1:15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</row>
  </sheetData>
  <sortState xmlns:xlrd2="http://schemas.microsoft.com/office/spreadsheetml/2017/richdata2" ref="F14:F19">
    <sortCondition ref="F14:F19" customList="Urgent,High,Normal,Low"/>
  </sortState>
  <mergeCells count="3">
    <mergeCell ref="B3:C3"/>
    <mergeCell ref="D3:H3"/>
    <mergeCell ref="A1:I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Kanban"/>
  <dimension ref="A1:P100"/>
  <sheetViews>
    <sheetView showGridLines="0" tabSelected="1" topLeftCell="C1" zoomScaleNormal="100" workbookViewId="0">
      <selection activeCell="N15" sqref="N15"/>
    </sheetView>
  </sheetViews>
  <sheetFormatPr defaultRowHeight="15" x14ac:dyDescent="0.25"/>
  <cols>
    <col min="1" max="1" width="12.28515625" bestFit="1" customWidth="1"/>
    <col min="2" max="2" width="15.42578125" customWidth="1"/>
    <col min="3" max="3" width="2.5703125" customWidth="1"/>
    <col min="4" max="4" width="19.85546875" customWidth="1"/>
    <col min="5" max="10" width="23.7109375" customWidth="1"/>
    <col min="11" max="11" width="4.140625" customWidth="1"/>
    <col min="12" max="12" width="9.42578125" customWidth="1"/>
    <col min="13" max="13" width="11.28515625" customWidth="1"/>
    <col min="14" max="14" width="5.7109375" customWidth="1"/>
    <col min="16" max="16" width="11.7109375" customWidth="1"/>
    <col min="17" max="17" width="10.42578125" customWidth="1"/>
  </cols>
  <sheetData>
    <row r="1" spans="1:16" ht="36.75" x14ac:dyDescent="0.45">
      <c r="A1" s="1"/>
      <c r="B1" s="1"/>
      <c r="C1" s="67" t="s">
        <v>5</v>
      </c>
      <c r="D1" s="67"/>
      <c r="E1" s="67"/>
      <c r="F1" s="67"/>
      <c r="G1" s="67"/>
      <c r="H1" s="67"/>
      <c r="I1" s="67"/>
      <c r="J1" s="67"/>
      <c r="K1" s="67"/>
      <c r="L1" s="5"/>
      <c r="M1" s="5"/>
    </row>
    <row r="2" spans="1:16" ht="29.25" customHeight="1" x14ac:dyDescent="0.25">
      <c r="A2" s="1"/>
      <c r="B2" s="1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6" x14ac:dyDescent="0.25">
      <c r="A3" s="37" t="s">
        <v>26</v>
      </c>
      <c r="B3" s="38">
        <f ca="1">IFERROR(INDEX(Proj._ID,MATCH(H3,Proj_Name,0),1),"")</f>
        <v>3</v>
      </c>
      <c r="C3" s="3"/>
      <c r="D3" s="3"/>
      <c r="E3" s="8" t="s">
        <v>10</v>
      </c>
      <c r="F3" s="7" t="s">
        <v>88</v>
      </c>
      <c r="G3" s="8" t="s">
        <v>11</v>
      </c>
      <c r="H3" s="7" t="s">
        <v>61</v>
      </c>
      <c r="I3" s="8" t="s">
        <v>0</v>
      </c>
      <c r="J3" s="7" t="s">
        <v>1</v>
      </c>
      <c r="K3" s="3"/>
      <c r="L3" s="3"/>
      <c r="M3" s="3"/>
    </row>
    <row r="4" spans="1:16" ht="9" customHeight="1" x14ac:dyDescent="0.25">
      <c r="A4" s="1"/>
      <c r="B4" s="45"/>
      <c r="C4" s="3"/>
      <c r="D4" s="3"/>
      <c r="E4" s="9"/>
      <c r="F4" s="3"/>
      <c r="G4" s="9"/>
      <c r="H4" s="3"/>
      <c r="I4" s="9"/>
      <c r="J4" s="3"/>
      <c r="K4" s="3"/>
      <c r="L4" s="3"/>
      <c r="M4" s="3"/>
    </row>
    <row r="5" spans="1:16" x14ac:dyDescent="0.25">
      <c r="A5" s="37" t="s">
        <v>16</v>
      </c>
      <c r="B5" s="38">
        <f ca="1">IFERROR(INDEX(Member_ID,MATCH(F5,Member_Name,0),1),"")</f>
        <v>3</v>
      </c>
      <c r="C5" s="3"/>
      <c r="D5" s="3"/>
      <c r="E5" s="8" t="s">
        <v>50</v>
      </c>
      <c r="F5" s="7" t="s">
        <v>40</v>
      </c>
      <c r="G5" s="8" t="s">
        <v>12</v>
      </c>
      <c r="H5" s="7" t="s">
        <v>21</v>
      </c>
      <c r="I5" s="8" t="s">
        <v>13</v>
      </c>
      <c r="J5" s="7" t="s">
        <v>77</v>
      </c>
      <c r="K5" s="3"/>
      <c r="L5" s="3"/>
      <c r="M5" s="3"/>
    </row>
    <row r="6" spans="1:16" ht="9" customHeight="1" x14ac:dyDescent="0.25">
      <c r="A6" s="1"/>
      <c r="B6" s="45"/>
      <c r="C6" s="3"/>
      <c r="D6" s="3"/>
      <c r="E6" s="3"/>
      <c r="F6" s="3"/>
      <c r="G6" s="3"/>
      <c r="H6" s="3"/>
      <c r="I6" s="3"/>
      <c r="J6" s="3"/>
      <c r="K6" s="3"/>
      <c r="L6" s="3"/>
      <c r="M6" s="3"/>
    </row>
    <row r="7" spans="1:16" x14ac:dyDescent="0.25">
      <c r="A7" s="37" t="s">
        <v>25</v>
      </c>
      <c r="B7" s="38">
        <v>19</v>
      </c>
      <c r="C7" s="3"/>
      <c r="D7" s="3"/>
      <c r="E7" s="3" t="s">
        <v>14</v>
      </c>
      <c r="F7" s="3"/>
      <c r="G7" s="3"/>
      <c r="H7" s="3"/>
      <c r="I7" s="8" t="s">
        <v>28</v>
      </c>
      <c r="J7" s="57">
        <v>44427</v>
      </c>
      <c r="K7" s="3"/>
      <c r="L7" s="3"/>
      <c r="M7" s="3"/>
      <c r="O7" s="74" t="s">
        <v>115</v>
      </c>
      <c r="P7" s="75"/>
    </row>
    <row r="8" spans="1:16" x14ac:dyDescent="0.25">
      <c r="A8" s="37" t="s">
        <v>57</v>
      </c>
      <c r="B8" s="38">
        <f ca="1">IFERROR(MATCH(B7,Task_ID,0)+3,"")</f>
        <v>22</v>
      </c>
      <c r="C8" s="3"/>
      <c r="D8" s="3"/>
      <c r="E8" s="68" t="s">
        <v>102</v>
      </c>
      <c r="F8" s="69"/>
      <c r="G8" s="69"/>
      <c r="H8" s="69"/>
      <c r="I8" s="69"/>
      <c r="J8" s="70"/>
      <c r="K8" s="3"/>
      <c r="L8" s="3"/>
      <c r="M8" s="3"/>
      <c r="O8" s="50" t="s">
        <v>25</v>
      </c>
      <c r="P8" s="50">
        <v>14</v>
      </c>
    </row>
    <row r="9" spans="1:16" x14ac:dyDescent="0.25">
      <c r="A9" s="37" t="s">
        <v>58</v>
      </c>
      <c r="B9" s="38">
        <f ca="1">IFERROR(MAX(Task_ID)+1,1)</f>
        <v>24</v>
      </c>
      <c r="C9" s="3"/>
      <c r="D9" s="3"/>
      <c r="E9" s="71"/>
      <c r="F9" s="72"/>
      <c r="G9" s="72"/>
      <c r="H9" s="72"/>
      <c r="I9" s="72"/>
      <c r="J9" s="73"/>
      <c r="K9" s="3"/>
      <c r="L9" s="3"/>
      <c r="M9" s="3"/>
      <c r="O9" s="50" t="s">
        <v>116</v>
      </c>
      <c r="P9" s="50">
        <v>264.24990844726563</v>
      </c>
    </row>
    <row r="10" spans="1:16" ht="12.75" customHeight="1" x14ac:dyDescent="0.25">
      <c r="A10" s="37" t="s">
        <v>114</v>
      </c>
      <c r="B10" s="37" t="b">
        <v>1</v>
      </c>
      <c r="C10" s="3"/>
      <c r="D10" s="3"/>
      <c r="E10" s="20"/>
      <c r="F10" s="20"/>
      <c r="G10" s="20"/>
      <c r="H10" s="20"/>
      <c r="I10" s="20"/>
      <c r="J10" s="20"/>
      <c r="K10" s="3"/>
      <c r="L10" s="3"/>
      <c r="M10" s="3"/>
      <c r="O10" s="50" t="s">
        <v>117</v>
      </c>
      <c r="P10" s="50">
        <v>287.5</v>
      </c>
    </row>
    <row r="11" spans="1:16" x14ac:dyDescent="0.25">
      <c r="A11" s="37" t="s">
        <v>104</v>
      </c>
      <c r="B11" s="38">
        <f>COUNTA(F3,H3,J3,F5,H5,J5)</f>
        <v>6</v>
      </c>
      <c r="C11" s="3"/>
      <c r="D11" s="3"/>
      <c r="E11" s="31" t="s">
        <v>55</v>
      </c>
      <c r="F11" s="30" t="s">
        <v>54</v>
      </c>
      <c r="G11" s="31" t="s">
        <v>108</v>
      </c>
      <c r="H11" s="30" t="s">
        <v>110</v>
      </c>
      <c r="I11" s="48" t="s">
        <v>56</v>
      </c>
      <c r="J11" s="56">
        <v>44409</v>
      </c>
      <c r="K11" s="3"/>
      <c r="L11" s="3"/>
      <c r="M11" s="3"/>
      <c r="O11" s="50" t="s">
        <v>118</v>
      </c>
      <c r="P11" s="50" t="b">
        <v>1</v>
      </c>
    </row>
    <row r="12" spans="1:16" ht="34.5" customHeight="1" thickBot="1" x14ac:dyDescent="0.3">
      <c r="A12" s="37" t="s">
        <v>111</v>
      </c>
      <c r="B12" s="38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O12" s="50" t="s">
        <v>122</v>
      </c>
      <c r="P12" s="60">
        <v>5</v>
      </c>
    </row>
    <row r="13" spans="1:16" x14ac:dyDescent="0.25">
      <c r="A13" s="37" t="s">
        <v>64</v>
      </c>
      <c r="B13" s="37" t="b">
        <v>0</v>
      </c>
      <c r="C13" s="3"/>
      <c r="D13" s="32" t="s">
        <v>6</v>
      </c>
      <c r="E13" s="23" t="str">
        <f ca="1">INDIRECT("Admin!B"&amp;COLUMN()+1,TRUE)</f>
        <v>BACKLOG</v>
      </c>
      <c r="F13" s="23" t="str">
        <f t="shared" ref="F13:J13" ca="1" si="0">INDIRECT("Admin!B"&amp;COLUMN()+1,TRUE)</f>
        <v>TO DO</v>
      </c>
      <c r="G13" s="23" t="str">
        <f t="shared" ca="1" si="0"/>
        <v>IN PROGRESS</v>
      </c>
      <c r="H13" s="23" t="str">
        <f t="shared" ca="1" si="0"/>
        <v>TO REVIEW</v>
      </c>
      <c r="I13" s="23" t="str">
        <f t="shared" ca="1" si="0"/>
        <v>COMPLETED</v>
      </c>
      <c r="J13" s="23" t="str">
        <f t="shared" ca="1" si="0"/>
        <v>CLOSED</v>
      </c>
      <c r="K13" s="3"/>
      <c r="L13" s="3"/>
      <c r="M13" s="3"/>
    </row>
    <row r="14" spans="1:16" x14ac:dyDescent="0.25">
      <c r="A14" s="1"/>
      <c r="B14" s="46" t="s">
        <v>26</v>
      </c>
      <c r="C14" s="3"/>
      <c r="D14" s="28" t="s">
        <v>52</v>
      </c>
      <c r="E14" s="21"/>
      <c r="F14" s="13"/>
      <c r="G14" s="13"/>
      <c r="H14" s="13"/>
      <c r="I14" s="13"/>
      <c r="J14" s="13"/>
      <c r="K14" s="3"/>
      <c r="L14" s="3"/>
      <c r="M14" s="3"/>
    </row>
    <row r="15" spans="1:16" x14ac:dyDescent="0.25">
      <c r="A15" s="1"/>
      <c r="B15" s="29">
        <v>3</v>
      </c>
      <c r="C15" s="3"/>
      <c r="D15" s="22" t="s">
        <v>61</v>
      </c>
      <c r="E15" s="21"/>
      <c r="F15" s="13"/>
      <c r="G15" s="13"/>
      <c r="H15" s="13"/>
      <c r="I15" s="13"/>
      <c r="J15" s="13"/>
      <c r="K15" s="3"/>
      <c r="L15" s="3"/>
      <c r="M15" s="3"/>
    </row>
    <row r="16" spans="1:16" x14ac:dyDescent="0.25">
      <c r="A16" s="1"/>
      <c r="B16" s="29">
        <v>1</v>
      </c>
      <c r="C16" s="3"/>
      <c r="D16" s="22" t="s">
        <v>59</v>
      </c>
      <c r="E16" s="21"/>
      <c r="F16" s="13"/>
      <c r="G16" s="13"/>
      <c r="H16" s="13"/>
      <c r="I16" s="13"/>
      <c r="J16" s="13"/>
      <c r="K16" s="3"/>
      <c r="L16" s="3"/>
      <c r="M16" s="3"/>
    </row>
    <row r="17" spans="1:13" x14ac:dyDescent="0.25">
      <c r="A17" s="1"/>
      <c r="B17" s="29">
        <v>4</v>
      </c>
      <c r="C17" s="3"/>
      <c r="D17" s="22" t="s">
        <v>63</v>
      </c>
      <c r="E17" s="21"/>
      <c r="F17" s="13"/>
      <c r="G17" s="13"/>
      <c r="H17" s="13"/>
      <c r="I17" s="13"/>
      <c r="J17" s="13"/>
      <c r="K17" s="3"/>
      <c r="L17" s="3"/>
      <c r="M17" s="3"/>
    </row>
    <row r="18" spans="1:13" x14ac:dyDescent="0.25">
      <c r="A18" s="1"/>
      <c r="B18" s="29"/>
      <c r="C18" s="3"/>
      <c r="D18" s="22"/>
      <c r="E18" s="21"/>
      <c r="F18" s="13"/>
      <c r="G18" s="13"/>
      <c r="H18" s="13"/>
      <c r="I18" s="13"/>
      <c r="J18" s="13"/>
      <c r="K18" s="3"/>
      <c r="L18" s="3"/>
      <c r="M18" s="3"/>
    </row>
    <row r="19" spans="1:13" x14ac:dyDescent="0.25">
      <c r="A19" s="1"/>
      <c r="B19" s="29"/>
      <c r="C19" s="3"/>
      <c r="D19" s="22"/>
      <c r="E19" s="21"/>
      <c r="F19" s="13"/>
      <c r="G19" s="13"/>
      <c r="H19" s="13"/>
      <c r="I19" s="13"/>
      <c r="J19" s="13"/>
      <c r="K19" s="3"/>
      <c r="L19" s="3"/>
      <c r="M19" s="3"/>
    </row>
    <row r="20" spans="1:13" x14ac:dyDescent="0.25">
      <c r="A20" s="1"/>
      <c r="B20" s="29"/>
      <c r="C20" s="3"/>
      <c r="D20" s="22"/>
      <c r="E20" s="21"/>
      <c r="F20" s="13"/>
      <c r="G20" s="13"/>
      <c r="H20" s="13"/>
      <c r="I20" s="13"/>
      <c r="J20" s="13"/>
      <c r="K20" s="3"/>
      <c r="L20" s="3"/>
      <c r="M20" s="3"/>
    </row>
    <row r="21" spans="1:13" x14ac:dyDescent="0.25">
      <c r="A21" s="1"/>
      <c r="B21" s="29"/>
      <c r="C21" s="3"/>
      <c r="D21" s="22"/>
      <c r="E21" s="21"/>
      <c r="F21" s="13"/>
      <c r="G21" s="13"/>
      <c r="H21" s="13"/>
      <c r="I21" s="13"/>
      <c r="J21" s="13"/>
      <c r="K21" s="3"/>
      <c r="L21" s="3"/>
      <c r="M21" s="3"/>
    </row>
    <row r="22" spans="1:13" x14ac:dyDescent="0.25">
      <c r="A22" s="1"/>
      <c r="B22" s="29"/>
      <c r="C22" s="3"/>
      <c r="D22" s="22"/>
      <c r="E22" s="21"/>
      <c r="F22" s="13"/>
      <c r="G22" s="13"/>
      <c r="H22" s="13"/>
      <c r="I22" s="13"/>
      <c r="J22" s="13"/>
      <c r="K22" s="3"/>
      <c r="L22" s="3"/>
      <c r="M22" s="3"/>
    </row>
    <row r="23" spans="1:13" x14ac:dyDescent="0.25">
      <c r="A23" s="1"/>
      <c r="B23" s="29"/>
      <c r="C23" s="3"/>
      <c r="D23" s="22"/>
      <c r="E23" s="21"/>
      <c r="F23" s="13"/>
      <c r="G23" s="13"/>
      <c r="H23" s="13"/>
      <c r="I23" s="13"/>
      <c r="J23" s="13"/>
      <c r="K23" s="3"/>
      <c r="L23" s="3"/>
      <c r="M23" s="3"/>
    </row>
    <row r="24" spans="1:13" x14ac:dyDescent="0.25">
      <c r="A24" s="1"/>
      <c r="B24" s="29"/>
      <c r="C24" s="3"/>
      <c r="D24" s="22"/>
      <c r="E24" s="21"/>
      <c r="F24" s="13"/>
      <c r="G24" s="13"/>
      <c r="H24" s="13"/>
      <c r="I24" s="13"/>
      <c r="J24" s="13"/>
      <c r="K24" s="3"/>
      <c r="L24" s="3"/>
      <c r="M24" s="3"/>
    </row>
    <row r="25" spans="1:13" x14ac:dyDescent="0.25">
      <c r="A25" s="1"/>
      <c r="B25" s="29"/>
      <c r="C25" s="3"/>
      <c r="D25" s="22"/>
      <c r="E25" s="21"/>
      <c r="F25" s="13"/>
      <c r="G25" s="13"/>
      <c r="H25" s="13"/>
      <c r="I25" s="13"/>
      <c r="J25" s="13"/>
      <c r="K25" s="3"/>
      <c r="L25" s="3"/>
      <c r="M25" s="3"/>
    </row>
    <row r="26" spans="1:13" x14ac:dyDescent="0.25">
      <c r="A26" s="1"/>
      <c r="B26" s="29"/>
      <c r="C26" s="3"/>
      <c r="D26" s="22"/>
      <c r="E26" s="21"/>
      <c r="F26" s="13"/>
      <c r="G26" s="13"/>
      <c r="H26" s="13"/>
      <c r="I26" s="13"/>
      <c r="J26" s="13"/>
      <c r="K26" s="3"/>
      <c r="L26" s="3"/>
      <c r="M26" s="3"/>
    </row>
    <row r="27" spans="1:13" x14ac:dyDescent="0.25">
      <c r="A27" s="1"/>
      <c r="B27" s="29"/>
      <c r="C27" s="3"/>
      <c r="D27" s="22"/>
      <c r="E27" s="21"/>
      <c r="F27" s="13"/>
      <c r="G27" s="13"/>
      <c r="H27" s="13"/>
      <c r="I27" s="13"/>
      <c r="J27" s="13"/>
      <c r="K27" s="3"/>
      <c r="L27" s="3"/>
      <c r="M27" s="3"/>
    </row>
    <row r="28" spans="1:13" x14ac:dyDescent="0.25">
      <c r="A28" s="1"/>
      <c r="B28" s="29"/>
      <c r="C28" s="3"/>
      <c r="D28" s="22"/>
      <c r="E28" s="21"/>
      <c r="F28" s="13"/>
      <c r="G28" s="13"/>
      <c r="H28" s="13"/>
      <c r="I28" s="13"/>
      <c r="J28" s="13"/>
      <c r="K28" s="3"/>
      <c r="L28" s="3"/>
      <c r="M28" s="3"/>
    </row>
    <row r="29" spans="1:13" x14ac:dyDescent="0.25">
      <c r="A29" s="1"/>
      <c r="B29" s="29"/>
      <c r="C29" s="3"/>
      <c r="D29" s="22"/>
      <c r="E29" s="21"/>
      <c r="F29" s="13"/>
      <c r="G29" s="13"/>
      <c r="H29" s="13"/>
      <c r="I29" s="13"/>
      <c r="J29" s="13"/>
      <c r="K29" s="3"/>
      <c r="L29" s="3"/>
      <c r="M29" s="3"/>
    </row>
    <row r="30" spans="1:13" x14ac:dyDescent="0.25">
      <c r="A30" s="1"/>
      <c r="B30" s="29"/>
      <c r="C30" s="3"/>
      <c r="D30" s="22"/>
      <c r="E30" s="21"/>
      <c r="F30" s="13"/>
      <c r="G30" s="13"/>
      <c r="H30" s="13"/>
      <c r="I30" s="13"/>
      <c r="J30" s="13"/>
      <c r="K30" s="3"/>
      <c r="L30" s="3"/>
      <c r="M30" s="3"/>
    </row>
    <row r="31" spans="1:13" x14ac:dyDescent="0.25">
      <c r="A31" s="1"/>
      <c r="B31" s="29"/>
      <c r="C31" s="3"/>
      <c r="D31" s="22"/>
      <c r="E31" s="21"/>
      <c r="F31" s="13"/>
      <c r="G31" s="13"/>
      <c r="H31" s="13"/>
      <c r="I31" s="13"/>
      <c r="J31" s="13"/>
      <c r="K31" s="3"/>
      <c r="L31" s="3"/>
      <c r="M31" s="3"/>
    </row>
    <row r="32" spans="1:13" x14ac:dyDescent="0.25">
      <c r="A32" s="1"/>
      <c r="B32" s="29"/>
      <c r="C32" s="3"/>
      <c r="D32" s="22"/>
      <c r="E32" s="21"/>
      <c r="F32" s="13"/>
      <c r="G32" s="13"/>
      <c r="H32" s="13"/>
      <c r="I32" s="13"/>
      <c r="J32" s="13"/>
      <c r="K32" s="3"/>
      <c r="L32" s="3"/>
      <c r="M32" s="3"/>
    </row>
    <row r="33" spans="1:13" x14ac:dyDescent="0.25">
      <c r="A33" s="1"/>
      <c r="B33" s="29"/>
      <c r="C33" s="3"/>
      <c r="D33" s="22"/>
      <c r="E33" s="21"/>
      <c r="F33" s="13"/>
      <c r="G33" s="13"/>
      <c r="H33" s="13"/>
      <c r="I33" s="13"/>
      <c r="J33" s="13"/>
      <c r="K33" s="3"/>
      <c r="L33" s="3"/>
      <c r="M33" s="3"/>
    </row>
    <row r="34" spans="1:13" x14ac:dyDescent="0.25">
      <c r="A34" s="1"/>
      <c r="B34" s="29"/>
      <c r="C34" s="3"/>
      <c r="D34" s="22"/>
      <c r="E34" s="21"/>
      <c r="F34" s="13"/>
      <c r="G34" s="13"/>
      <c r="H34" s="13"/>
      <c r="I34" s="13"/>
      <c r="J34" s="13"/>
      <c r="K34" s="3"/>
      <c r="L34" s="3"/>
      <c r="M34" s="3"/>
    </row>
    <row r="35" spans="1:13" x14ac:dyDescent="0.25">
      <c r="A35" s="1"/>
      <c r="B35" s="1"/>
      <c r="C35" s="3"/>
      <c r="D35" s="22"/>
      <c r="E35" s="21"/>
      <c r="F35" s="13"/>
      <c r="G35" s="13"/>
      <c r="H35" s="13"/>
      <c r="I35" s="13"/>
      <c r="J35" s="13"/>
      <c r="K35" s="3"/>
      <c r="L35" s="3"/>
      <c r="M35" s="3"/>
    </row>
    <row r="36" spans="1:13" x14ac:dyDescent="0.25">
      <c r="A36" s="1"/>
      <c r="B36" s="1"/>
      <c r="C36" s="3"/>
      <c r="D36" s="22"/>
      <c r="E36" s="21"/>
      <c r="F36" s="13"/>
      <c r="G36" s="13"/>
      <c r="H36" s="13"/>
      <c r="I36" s="13"/>
      <c r="J36" s="13"/>
      <c r="K36" s="3"/>
      <c r="L36" s="3"/>
      <c r="M36" s="3"/>
    </row>
    <row r="37" spans="1:13" x14ac:dyDescent="0.25">
      <c r="A37" s="1"/>
      <c r="B37" s="1"/>
      <c r="C37" s="3"/>
      <c r="D37" s="22"/>
      <c r="E37" s="21"/>
      <c r="F37" s="13"/>
      <c r="G37" s="13"/>
      <c r="H37" s="13"/>
      <c r="I37" s="13"/>
      <c r="J37" s="13"/>
      <c r="K37" s="3"/>
      <c r="L37" s="3"/>
      <c r="M37" s="3"/>
    </row>
    <row r="38" spans="1:13" x14ac:dyDescent="0.25">
      <c r="A38" s="1"/>
      <c r="B38" s="1"/>
      <c r="C38" s="3"/>
      <c r="D38" s="22"/>
      <c r="E38" s="21"/>
      <c r="F38" s="13"/>
      <c r="G38" s="13"/>
      <c r="H38" s="13"/>
      <c r="I38" s="13"/>
      <c r="J38" s="13"/>
      <c r="K38" s="3"/>
      <c r="L38" s="3"/>
      <c r="M38" s="3"/>
    </row>
    <row r="39" spans="1:13" x14ac:dyDescent="0.25">
      <c r="A39" s="1"/>
      <c r="B39" s="1"/>
      <c r="C39" s="3"/>
      <c r="D39" s="22"/>
      <c r="E39" s="21"/>
      <c r="F39" s="13"/>
      <c r="G39" s="13"/>
      <c r="H39" s="13"/>
      <c r="I39" s="13"/>
      <c r="J39" s="13"/>
      <c r="K39" s="3"/>
      <c r="L39" s="3"/>
      <c r="M39" s="3"/>
    </row>
    <row r="40" spans="1:13" x14ac:dyDescent="0.25">
      <c r="A40" s="1"/>
      <c r="B40" s="1"/>
      <c r="C40" s="3"/>
      <c r="D40" s="22"/>
      <c r="E40" s="21"/>
      <c r="F40" s="13"/>
      <c r="G40" s="13"/>
      <c r="H40" s="13"/>
      <c r="I40" s="13"/>
      <c r="J40" s="13"/>
      <c r="K40" s="3"/>
      <c r="L40" s="3"/>
      <c r="M40" s="3"/>
    </row>
    <row r="41" spans="1:13" x14ac:dyDescent="0.25">
      <c r="A41" s="1"/>
      <c r="B41" s="1"/>
      <c r="C41" s="3"/>
      <c r="D41" s="22"/>
      <c r="E41" s="21"/>
      <c r="F41" s="13"/>
      <c r="G41" s="13"/>
      <c r="H41" s="13"/>
      <c r="I41" s="13"/>
      <c r="J41" s="13"/>
      <c r="K41" s="3"/>
      <c r="L41" s="3"/>
      <c r="M41" s="3"/>
    </row>
    <row r="42" spans="1:13" x14ac:dyDescent="0.25">
      <c r="A42" s="1"/>
      <c r="B42" s="1"/>
      <c r="C42" s="3"/>
      <c r="D42" s="22"/>
      <c r="E42" s="21"/>
      <c r="F42" s="13"/>
      <c r="G42" s="13"/>
      <c r="H42" s="13"/>
      <c r="I42" s="13"/>
      <c r="J42" s="13"/>
      <c r="K42" s="3"/>
      <c r="L42" s="3"/>
      <c r="M42" s="3"/>
    </row>
    <row r="43" spans="1:13" x14ac:dyDescent="0.25">
      <c r="A43" s="1"/>
      <c r="B43" s="1"/>
      <c r="C43" s="3"/>
      <c r="D43" s="22"/>
      <c r="E43" s="21"/>
      <c r="F43" s="13"/>
      <c r="G43" s="13"/>
      <c r="H43" s="13"/>
      <c r="I43" s="13"/>
      <c r="J43" s="13"/>
      <c r="K43" s="3"/>
      <c r="L43" s="3"/>
      <c r="M43" s="3"/>
    </row>
    <row r="44" spans="1:13" x14ac:dyDescent="0.25">
      <c r="A44" s="1"/>
      <c r="B44" s="1"/>
      <c r="C44" s="3"/>
      <c r="D44" s="22"/>
      <c r="E44" s="21"/>
      <c r="F44" s="13"/>
      <c r="G44" s="13"/>
      <c r="H44" s="13"/>
      <c r="I44" s="13"/>
      <c r="J44" s="13"/>
      <c r="K44" s="3"/>
      <c r="L44" s="3"/>
      <c r="M44" s="3"/>
    </row>
    <row r="45" spans="1:13" x14ac:dyDescent="0.25">
      <c r="A45" s="1"/>
      <c r="B45" s="1"/>
      <c r="C45" s="3"/>
      <c r="D45" s="22"/>
      <c r="E45" s="21"/>
      <c r="F45" s="13"/>
      <c r="G45" s="13"/>
      <c r="H45" s="13"/>
      <c r="I45" s="13"/>
      <c r="J45" s="13"/>
      <c r="K45" s="3"/>
      <c r="L45" s="3"/>
      <c r="M45" s="3"/>
    </row>
    <row r="46" spans="1:13" x14ac:dyDescent="0.25">
      <c r="A46" s="1"/>
      <c r="B46" s="1"/>
      <c r="C46" s="3"/>
      <c r="D46" s="22"/>
      <c r="E46" s="21"/>
      <c r="F46" s="13"/>
      <c r="G46" s="13"/>
      <c r="H46" s="13"/>
      <c r="I46" s="13"/>
      <c r="J46" s="13"/>
      <c r="K46" s="3"/>
      <c r="L46" s="3"/>
      <c r="M46" s="3"/>
    </row>
    <row r="47" spans="1:13" x14ac:dyDescent="0.25">
      <c r="A47" s="1"/>
      <c r="B47" s="1"/>
      <c r="C47" s="3"/>
      <c r="D47" s="22"/>
      <c r="E47" s="21"/>
      <c r="F47" s="13"/>
      <c r="G47" s="13"/>
      <c r="H47" s="13"/>
      <c r="I47" s="13"/>
      <c r="J47" s="13"/>
      <c r="K47" s="3"/>
      <c r="L47" s="3"/>
      <c r="M47" s="3"/>
    </row>
    <row r="48" spans="1:13" x14ac:dyDescent="0.25">
      <c r="A48" s="1"/>
      <c r="B48" s="1"/>
      <c r="C48" s="3"/>
      <c r="D48" s="22"/>
      <c r="E48" s="21"/>
      <c r="F48" s="13"/>
      <c r="G48" s="13"/>
      <c r="H48" s="13"/>
      <c r="I48" s="13"/>
      <c r="J48" s="13"/>
      <c r="K48" s="3"/>
      <c r="L48" s="3"/>
      <c r="M48" s="3"/>
    </row>
    <row r="49" spans="1:13" x14ac:dyDescent="0.25">
      <c r="A49" s="1"/>
      <c r="B49" s="1"/>
      <c r="C49" s="3"/>
      <c r="D49" s="22"/>
      <c r="E49" s="21"/>
      <c r="F49" s="13"/>
      <c r="G49" s="13"/>
      <c r="H49" s="13"/>
      <c r="I49" s="13"/>
      <c r="J49" s="13"/>
      <c r="K49" s="3"/>
      <c r="L49" s="3"/>
      <c r="M49" s="3"/>
    </row>
    <row r="50" spans="1:13" x14ac:dyDescent="0.25">
      <c r="C50" s="3"/>
      <c r="D50" s="22"/>
      <c r="E50" s="21"/>
      <c r="F50" s="13"/>
      <c r="G50" s="13"/>
      <c r="H50" s="13"/>
      <c r="I50" s="13"/>
      <c r="J50" s="13"/>
      <c r="K50" s="3"/>
      <c r="L50" s="3"/>
      <c r="M50" s="3"/>
    </row>
    <row r="51" spans="1:13" x14ac:dyDescent="0.25">
      <c r="C51" s="3"/>
      <c r="D51" s="22"/>
      <c r="E51" s="21"/>
      <c r="F51" s="13"/>
      <c r="G51" s="13"/>
      <c r="H51" s="13"/>
      <c r="I51" s="13"/>
      <c r="J51" s="13"/>
      <c r="K51" s="3"/>
      <c r="L51" s="3"/>
      <c r="M51" s="3"/>
    </row>
    <row r="52" spans="1:13" x14ac:dyDescent="0.25">
      <c r="C52" s="3"/>
      <c r="D52" s="22"/>
      <c r="E52" s="21"/>
      <c r="F52" s="13"/>
      <c r="G52" s="13"/>
      <c r="H52" s="13"/>
      <c r="I52" s="13"/>
      <c r="J52" s="13"/>
      <c r="K52" s="3"/>
      <c r="L52" s="3"/>
      <c r="M52" s="3"/>
    </row>
    <row r="53" spans="1:13" x14ac:dyDescent="0.25">
      <c r="C53" s="3"/>
      <c r="D53" s="22"/>
      <c r="E53" s="21"/>
      <c r="F53" s="13"/>
      <c r="G53" s="13"/>
      <c r="H53" s="13"/>
      <c r="I53" s="13"/>
      <c r="J53" s="13"/>
      <c r="K53" s="3"/>
      <c r="L53" s="3"/>
      <c r="M53" s="3"/>
    </row>
    <row r="54" spans="1:13" x14ac:dyDescent="0.25">
      <c r="C54" s="3"/>
      <c r="D54" s="22"/>
      <c r="E54" s="21"/>
      <c r="F54" s="13"/>
      <c r="G54" s="13"/>
      <c r="H54" s="13"/>
      <c r="I54" s="13"/>
      <c r="J54" s="13"/>
      <c r="K54" s="3"/>
      <c r="L54" s="3"/>
      <c r="M54" s="3"/>
    </row>
    <row r="55" spans="1:13" x14ac:dyDescent="0.25">
      <c r="C55" s="3"/>
      <c r="D55" s="22"/>
      <c r="E55" s="21"/>
      <c r="F55" s="13"/>
      <c r="G55" s="13"/>
      <c r="H55" s="13"/>
      <c r="I55" s="13"/>
      <c r="J55" s="13"/>
      <c r="K55" s="3"/>
      <c r="L55" s="3"/>
      <c r="M55" s="3"/>
    </row>
    <row r="56" spans="1:13" x14ac:dyDescent="0.25">
      <c r="C56" s="3"/>
      <c r="D56" s="22"/>
      <c r="E56" s="21"/>
      <c r="F56" s="13"/>
      <c r="G56" s="13"/>
      <c r="H56" s="13"/>
      <c r="I56" s="13"/>
      <c r="J56" s="13"/>
      <c r="K56" s="3"/>
      <c r="L56" s="3"/>
      <c r="M56" s="3"/>
    </row>
    <row r="57" spans="1:13" x14ac:dyDescent="0.25">
      <c r="C57" s="3"/>
      <c r="D57" s="22"/>
      <c r="E57" s="21"/>
      <c r="F57" s="13"/>
      <c r="G57" s="13"/>
      <c r="H57" s="13"/>
      <c r="I57" s="13"/>
      <c r="J57" s="13"/>
      <c r="K57" s="3"/>
      <c r="L57" s="3"/>
      <c r="M57" s="3"/>
    </row>
    <row r="58" spans="1:13" x14ac:dyDescent="0.25">
      <c r="C58" s="3"/>
      <c r="D58" s="22"/>
      <c r="E58" s="21"/>
      <c r="F58" s="13"/>
      <c r="G58" s="13"/>
      <c r="H58" s="13"/>
      <c r="I58" s="13"/>
      <c r="J58" s="13"/>
      <c r="K58" s="3"/>
      <c r="L58" s="3"/>
      <c r="M58" s="3"/>
    </row>
    <row r="59" spans="1:13" x14ac:dyDescent="0.25">
      <c r="C59" s="3"/>
      <c r="D59" s="22"/>
      <c r="E59" s="21"/>
      <c r="F59" s="13"/>
      <c r="G59" s="13"/>
      <c r="H59" s="13"/>
      <c r="I59" s="13"/>
      <c r="J59" s="13"/>
      <c r="K59" s="3"/>
      <c r="L59" s="3"/>
      <c r="M59" s="3"/>
    </row>
    <row r="60" spans="1:13" x14ac:dyDescent="0.25">
      <c r="C60" s="3"/>
      <c r="D60" s="22"/>
      <c r="E60" s="21"/>
      <c r="F60" s="13"/>
      <c r="G60" s="13"/>
      <c r="H60" s="13"/>
      <c r="I60" s="13"/>
      <c r="J60" s="13"/>
      <c r="K60" s="3"/>
      <c r="L60" s="3"/>
      <c r="M60" s="3"/>
    </row>
    <row r="61" spans="1:13" x14ac:dyDescent="0.25">
      <c r="C61" s="3"/>
      <c r="D61" s="22"/>
      <c r="E61" s="21"/>
      <c r="F61" s="13"/>
      <c r="G61" s="13"/>
      <c r="H61" s="13"/>
      <c r="I61" s="13"/>
      <c r="J61" s="13"/>
      <c r="K61" s="3"/>
      <c r="L61" s="3"/>
      <c r="M61" s="3"/>
    </row>
    <row r="62" spans="1:13" x14ac:dyDescent="0.25">
      <c r="C62" s="3"/>
      <c r="D62" s="22"/>
      <c r="E62" s="21"/>
      <c r="F62" s="13"/>
      <c r="G62" s="13"/>
      <c r="H62" s="13"/>
      <c r="I62" s="13"/>
      <c r="J62" s="13"/>
      <c r="K62" s="3"/>
      <c r="L62" s="3"/>
      <c r="M62" s="3"/>
    </row>
    <row r="63" spans="1:13" x14ac:dyDescent="0.25">
      <c r="C63" s="3"/>
      <c r="D63" s="22"/>
      <c r="E63" s="21"/>
      <c r="F63" s="13"/>
      <c r="G63" s="13"/>
      <c r="H63" s="13"/>
      <c r="I63" s="13"/>
      <c r="J63" s="13"/>
      <c r="K63" s="3"/>
      <c r="L63" s="3"/>
      <c r="M63" s="3"/>
    </row>
    <row r="64" spans="1:13" x14ac:dyDescent="0.25">
      <c r="C64" s="3"/>
      <c r="D64" s="22"/>
      <c r="E64" s="21"/>
      <c r="F64" s="13"/>
      <c r="G64" s="13"/>
      <c r="H64" s="13"/>
      <c r="I64" s="13"/>
      <c r="J64" s="13"/>
      <c r="K64" s="3"/>
      <c r="L64" s="3"/>
      <c r="M64" s="3"/>
    </row>
    <row r="65" spans="3:13" x14ac:dyDescent="0.25">
      <c r="C65" s="3"/>
      <c r="D65" s="22"/>
      <c r="E65" s="21"/>
      <c r="F65" s="13"/>
      <c r="G65" s="13"/>
      <c r="H65" s="13"/>
      <c r="I65" s="13"/>
      <c r="J65" s="13"/>
      <c r="K65" s="3"/>
      <c r="L65" s="3"/>
      <c r="M65" s="3"/>
    </row>
    <row r="66" spans="3:13" x14ac:dyDescent="0.25">
      <c r="C66" s="3"/>
      <c r="D66" s="22"/>
      <c r="E66" s="21"/>
      <c r="F66" s="13"/>
      <c r="G66" s="13"/>
      <c r="H66" s="13"/>
      <c r="I66" s="13"/>
      <c r="J66" s="13"/>
      <c r="K66" s="3"/>
      <c r="L66" s="3"/>
      <c r="M66" s="3"/>
    </row>
    <row r="67" spans="3:13" x14ac:dyDescent="0.25">
      <c r="C67" s="3"/>
      <c r="D67" s="22"/>
      <c r="E67" s="21"/>
      <c r="F67" s="13"/>
      <c r="G67" s="13"/>
      <c r="H67" s="13"/>
      <c r="I67" s="13"/>
      <c r="J67" s="13"/>
      <c r="K67" s="3"/>
      <c r="L67" s="3"/>
      <c r="M67" s="3"/>
    </row>
    <row r="68" spans="3:13" x14ac:dyDescent="0.25">
      <c r="C68" s="3"/>
      <c r="D68" s="22"/>
      <c r="E68" s="21"/>
      <c r="F68" s="13"/>
      <c r="G68" s="13"/>
      <c r="H68" s="13"/>
      <c r="I68" s="13"/>
      <c r="J68" s="13"/>
      <c r="K68" s="3"/>
      <c r="L68" s="3"/>
      <c r="M68" s="3"/>
    </row>
    <row r="69" spans="3:13" x14ac:dyDescent="0.25">
      <c r="C69" s="3"/>
      <c r="D69" s="22"/>
      <c r="E69" s="21"/>
      <c r="F69" s="13"/>
      <c r="G69" s="13"/>
      <c r="H69" s="13"/>
      <c r="I69" s="13"/>
      <c r="J69" s="13"/>
      <c r="K69" s="3"/>
      <c r="L69" s="3"/>
      <c r="M69" s="3"/>
    </row>
    <row r="70" spans="3:13" x14ac:dyDescent="0.25">
      <c r="C70" s="3"/>
      <c r="D70" s="22"/>
      <c r="E70" s="21"/>
      <c r="F70" s="13"/>
      <c r="G70" s="13"/>
      <c r="H70" s="13"/>
      <c r="I70" s="13"/>
      <c r="J70" s="13"/>
      <c r="K70" s="3"/>
      <c r="L70" s="3"/>
      <c r="M70" s="3"/>
    </row>
    <row r="71" spans="3:13" x14ac:dyDescent="0.25">
      <c r="C71" s="3"/>
      <c r="D71" s="22"/>
      <c r="E71" s="21"/>
      <c r="F71" s="13"/>
      <c r="G71" s="13"/>
      <c r="H71" s="13"/>
      <c r="I71" s="13"/>
      <c r="J71" s="13"/>
      <c r="K71" s="3"/>
      <c r="L71" s="3"/>
      <c r="M71" s="3"/>
    </row>
    <row r="72" spans="3:13" x14ac:dyDescent="0.25">
      <c r="C72" s="3"/>
      <c r="D72" s="22"/>
      <c r="E72" s="21"/>
      <c r="F72" s="13"/>
      <c r="G72" s="13"/>
      <c r="H72" s="13"/>
      <c r="I72" s="13"/>
      <c r="J72" s="13"/>
      <c r="K72" s="3"/>
      <c r="L72" s="3"/>
      <c r="M72" s="3"/>
    </row>
    <row r="73" spans="3:13" x14ac:dyDescent="0.25">
      <c r="C73" s="3"/>
      <c r="D73" s="22"/>
      <c r="E73" s="21"/>
      <c r="F73" s="13"/>
      <c r="G73" s="13"/>
      <c r="H73" s="13"/>
      <c r="I73" s="13"/>
      <c r="J73" s="13"/>
      <c r="K73" s="3"/>
      <c r="L73" s="3"/>
      <c r="M73" s="3"/>
    </row>
    <row r="74" spans="3:13" x14ac:dyDescent="0.25">
      <c r="C74" s="3"/>
      <c r="D74" s="22"/>
      <c r="E74" s="21"/>
      <c r="F74" s="13"/>
      <c r="G74" s="13"/>
      <c r="H74" s="13"/>
      <c r="I74" s="13"/>
      <c r="J74" s="13"/>
      <c r="K74" s="3"/>
      <c r="L74" s="3"/>
      <c r="M74" s="3"/>
    </row>
    <row r="75" spans="3:13" x14ac:dyDescent="0.25">
      <c r="C75" s="3"/>
      <c r="D75" s="22"/>
      <c r="E75" s="21"/>
      <c r="F75" s="13"/>
      <c r="G75" s="13"/>
      <c r="H75" s="13"/>
      <c r="I75" s="13"/>
      <c r="J75" s="13"/>
      <c r="K75" s="3"/>
      <c r="L75" s="3"/>
      <c r="M75" s="3"/>
    </row>
    <row r="76" spans="3:13" x14ac:dyDescent="0.25">
      <c r="C76" s="3"/>
      <c r="D76" s="22"/>
      <c r="E76" s="21"/>
      <c r="F76" s="13"/>
      <c r="G76" s="13"/>
      <c r="H76" s="13"/>
      <c r="I76" s="13"/>
      <c r="J76" s="13"/>
      <c r="K76" s="3"/>
      <c r="L76" s="3"/>
      <c r="M76" s="3"/>
    </row>
    <row r="77" spans="3:13" x14ac:dyDescent="0.25">
      <c r="C77" s="3"/>
      <c r="D77" s="22"/>
      <c r="E77" s="21"/>
      <c r="F77" s="13"/>
      <c r="G77" s="13"/>
      <c r="H77" s="13"/>
      <c r="I77" s="13"/>
      <c r="J77" s="13"/>
      <c r="K77" s="3"/>
      <c r="L77" s="3"/>
      <c r="M77" s="3"/>
    </row>
    <row r="78" spans="3:13" x14ac:dyDescent="0.25">
      <c r="C78" s="3"/>
      <c r="D78" s="22"/>
      <c r="E78" s="21"/>
      <c r="F78" s="13"/>
      <c r="G78" s="13"/>
      <c r="H78" s="13"/>
      <c r="I78" s="13"/>
      <c r="J78" s="13"/>
      <c r="K78" s="3"/>
      <c r="L78" s="3"/>
      <c r="M78" s="3"/>
    </row>
    <row r="79" spans="3:13" x14ac:dyDescent="0.25">
      <c r="C79" s="3"/>
      <c r="D79" s="22"/>
      <c r="E79" s="21"/>
      <c r="F79" s="13"/>
      <c r="G79" s="13"/>
      <c r="H79" s="13"/>
      <c r="I79" s="13"/>
      <c r="J79" s="13"/>
      <c r="K79" s="3"/>
      <c r="L79" s="3"/>
      <c r="M79" s="3"/>
    </row>
    <row r="80" spans="3:13" x14ac:dyDescent="0.25">
      <c r="C80" s="3"/>
      <c r="D80" s="22"/>
      <c r="E80" s="21"/>
      <c r="F80" s="13"/>
      <c r="G80" s="13"/>
      <c r="H80" s="13"/>
      <c r="I80" s="13"/>
      <c r="J80" s="13"/>
      <c r="K80" s="3"/>
      <c r="L80" s="3"/>
      <c r="M80" s="3"/>
    </row>
    <row r="81" spans="3:13" x14ac:dyDescent="0.25">
      <c r="C81" s="3"/>
      <c r="D81" s="22"/>
      <c r="E81" s="21"/>
      <c r="F81" s="13"/>
      <c r="G81" s="13"/>
      <c r="H81" s="13"/>
      <c r="I81" s="13"/>
      <c r="J81" s="13"/>
      <c r="K81" s="3"/>
      <c r="L81" s="3"/>
      <c r="M81" s="3"/>
    </row>
    <row r="82" spans="3:13" x14ac:dyDescent="0.25">
      <c r="C82" s="3"/>
      <c r="D82" s="22"/>
      <c r="E82" s="21"/>
      <c r="F82" s="13"/>
      <c r="G82" s="13"/>
      <c r="H82" s="13"/>
      <c r="I82" s="13"/>
      <c r="J82" s="13"/>
      <c r="K82" s="3"/>
      <c r="L82" s="3"/>
      <c r="M82" s="3"/>
    </row>
    <row r="83" spans="3:13" x14ac:dyDescent="0.25">
      <c r="C83" s="3"/>
      <c r="D83" s="22"/>
      <c r="E83" s="21"/>
      <c r="F83" s="13"/>
      <c r="G83" s="13"/>
      <c r="H83" s="13"/>
      <c r="I83" s="13"/>
      <c r="J83" s="13"/>
      <c r="K83" s="3"/>
      <c r="L83" s="3"/>
      <c r="M83" s="3"/>
    </row>
    <row r="84" spans="3:13" x14ac:dyDescent="0.25">
      <c r="C84" s="3"/>
      <c r="D84" s="22"/>
      <c r="E84" s="21"/>
      <c r="F84" s="13"/>
      <c r="G84" s="13"/>
      <c r="H84" s="13"/>
      <c r="I84" s="13"/>
      <c r="J84" s="13"/>
      <c r="K84" s="3"/>
      <c r="L84" s="3"/>
      <c r="M84" s="3"/>
    </row>
    <row r="85" spans="3:13" x14ac:dyDescent="0.25">
      <c r="C85" s="3"/>
      <c r="D85" s="22"/>
      <c r="E85" s="21"/>
      <c r="F85" s="13"/>
      <c r="G85" s="13"/>
      <c r="H85" s="13"/>
      <c r="I85" s="13"/>
      <c r="J85" s="13"/>
      <c r="K85" s="3"/>
      <c r="L85" s="3"/>
      <c r="M85" s="3"/>
    </row>
    <row r="86" spans="3:13" x14ac:dyDescent="0.25">
      <c r="C86" s="3"/>
      <c r="D86" s="22"/>
      <c r="E86" s="21"/>
      <c r="F86" s="13"/>
      <c r="G86" s="13"/>
      <c r="H86" s="13"/>
      <c r="I86" s="13"/>
      <c r="J86" s="13"/>
      <c r="K86" s="3"/>
      <c r="L86" s="3"/>
      <c r="M86" s="3"/>
    </row>
    <row r="87" spans="3:13" x14ac:dyDescent="0.25">
      <c r="C87" s="3"/>
      <c r="D87" s="22"/>
      <c r="E87" s="21"/>
      <c r="F87" s="13"/>
      <c r="G87" s="13"/>
      <c r="H87" s="13"/>
      <c r="I87" s="13"/>
      <c r="J87" s="13"/>
      <c r="K87" s="3"/>
      <c r="L87" s="3"/>
      <c r="M87" s="3"/>
    </row>
    <row r="88" spans="3:13" x14ac:dyDescent="0.25">
      <c r="C88" s="3"/>
      <c r="D88" s="22"/>
      <c r="E88" s="21"/>
      <c r="F88" s="13"/>
      <c r="G88" s="13"/>
      <c r="H88" s="13"/>
      <c r="I88" s="13"/>
      <c r="J88" s="13"/>
      <c r="K88" s="3"/>
      <c r="L88" s="3"/>
      <c r="M88" s="3"/>
    </row>
    <row r="89" spans="3:13" x14ac:dyDescent="0.25">
      <c r="C89" s="3"/>
      <c r="D89" s="22"/>
      <c r="E89" s="21"/>
      <c r="F89" s="13"/>
      <c r="G89" s="13"/>
      <c r="H89" s="13"/>
      <c r="I89" s="13"/>
      <c r="J89" s="13"/>
      <c r="K89" s="3"/>
      <c r="L89" s="3"/>
      <c r="M89" s="3"/>
    </row>
    <row r="90" spans="3:13" x14ac:dyDescent="0.25">
      <c r="C90" s="3"/>
      <c r="D90" s="22"/>
      <c r="E90" s="21"/>
      <c r="F90" s="13"/>
      <c r="G90" s="13"/>
      <c r="H90" s="13"/>
      <c r="I90" s="13"/>
      <c r="J90" s="13"/>
      <c r="K90" s="3"/>
      <c r="L90" s="3"/>
      <c r="M90" s="3"/>
    </row>
    <row r="91" spans="3:13" x14ac:dyDescent="0.25">
      <c r="C91" s="3"/>
      <c r="D91" s="22"/>
      <c r="E91" s="21"/>
      <c r="F91" s="13"/>
      <c r="G91" s="13"/>
      <c r="H91" s="13"/>
      <c r="I91" s="13"/>
      <c r="J91" s="13"/>
      <c r="K91" s="3"/>
      <c r="L91" s="3"/>
      <c r="M91" s="3"/>
    </row>
    <row r="92" spans="3:13" x14ac:dyDescent="0.25">
      <c r="C92" s="3"/>
      <c r="D92" s="22"/>
      <c r="E92" s="21"/>
      <c r="F92" s="13"/>
      <c r="G92" s="13"/>
      <c r="H92" s="13"/>
      <c r="I92" s="13"/>
      <c r="J92" s="13"/>
      <c r="K92" s="3"/>
      <c r="L92" s="3"/>
      <c r="M92" s="3"/>
    </row>
    <row r="93" spans="3:13" x14ac:dyDescent="0.25">
      <c r="C93" s="3"/>
      <c r="D93" s="22"/>
      <c r="E93" s="21"/>
      <c r="F93" s="13"/>
      <c r="G93" s="13"/>
      <c r="H93" s="13"/>
      <c r="I93" s="13"/>
      <c r="J93" s="13"/>
      <c r="K93" s="3"/>
      <c r="L93" s="3"/>
      <c r="M93" s="3"/>
    </row>
    <row r="94" spans="3:13" x14ac:dyDescent="0.25">
      <c r="C94" s="3"/>
      <c r="D94" s="22"/>
      <c r="E94" s="21"/>
      <c r="F94" s="13"/>
      <c r="G94" s="13"/>
      <c r="H94" s="13"/>
      <c r="I94" s="13"/>
      <c r="J94" s="13"/>
      <c r="K94" s="3"/>
      <c r="L94" s="3"/>
      <c r="M94" s="3"/>
    </row>
    <row r="95" spans="3:13" x14ac:dyDescent="0.25">
      <c r="C95" s="3"/>
      <c r="D95" s="22"/>
      <c r="E95" s="21"/>
      <c r="F95" s="13"/>
      <c r="G95" s="13"/>
      <c r="H95" s="13"/>
      <c r="I95" s="13"/>
      <c r="J95" s="13"/>
      <c r="K95" s="3"/>
      <c r="L95" s="3"/>
      <c r="M95" s="3"/>
    </row>
    <row r="96" spans="3:13" x14ac:dyDescent="0.25">
      <c r="C96" s="3"/>
      <c r="D96" s="22"/>
      <c r="E96" s="21"/>
      <c r="F96" s="13"/>
      <c r="G96" s="13"/>
      <c r="H96" s="13"/>
      <c r="I96" s="13"/>
      <c r="J96" s="13"/>
      <c r="K96" s="3"/>
      <c r="L96" s="3"/>
      <c r="M96" s="3"/>
    </row>
    <row r="97" spans="3:13" x14ac:dyDescent="0.25">
      <c r="C97" s="3"/>
      <c r="D97" s="22"/>
      <c r="E97" s="21"/>
      <c r="F97" s="13"/>
      <c r="G97" s="13"/>
      <c r="H97" s="13"/>
      <c r="I97" s="13"/>
      <c r="J97" s="13"/>
      <c r="K97" s="3"/>
      <c r="L97" s="3"/>
      <c r="M97" s="3"/>
    </row>
    <row r="98" spans="3:13" x14ac:dyDescent="0.25">
      <c r="C98" s="3"/>
      <c r="D98" s="22"/>
      <c r="E98" s="21"/>
      <c r="F98" s="13"/>
      <c r="G98" s="13"/>
      <c r="H98" s="13"/>
      <c r="I98" s="13"/>
      <c r="J98" s="13"/>
      <c r="K98" s="3"/>
      <c r="L98" s="3"/>
      <c r="M98" s="3"/>
    </row>
    <row r="99" spans="3:13" x14ac:dyDescent="0.25">
      <c r="C99" s="3"/>
      <c r="D99" s="22"/>
      <c r="E99" s="21"/>
      <c r="F99" s="13"/>
      <c r="G99" s="13"/>
      <c r="H99" s="13"/>
      <c r="I99" s="13"/>
      <c r="J99" s="13"/>
      <c r="K99" s="3"/>
      <c r="L99" s="3"/>
      <c r="M99" s="3"/>
    </row>
    <row r="100" spans="3:13" x14ac:dyDescent="0.25">
      <c r="D100" s="49">
        <v>366</v>
      </c>
      <c r="E100" s="49">
        <v>393.25</v>
      </c>
      <c r="F100" s="49">
        <v>628.75</v>
      </c>
      <c r="G100" s="49">
        <v>471.75</v>
      </c>
      <c r="H100" s="49">
        <v>550.25</v>
      </c>
      <c r="I100" s="49">
        <v>471.75</v>
      </c>
      <c r="J100" s="49">
        <v>550.25</v>
      </c>
    </row>
  </sheetData>
  <mergeCells count="3">
    <mergeCell ref="C1:K1"/>
    <mergeCell ref="E8:J9"/>
    <mergeCell ref="O7:P7"/>
  </mergeCells>
  <conditionalFormatting sqref="F3 F5 H3 H5 J5 J3">
    <cfRule type="containsBlanks" dxfId="2" priority="3">
      <formula>LEN(TRIM(F3))=0</formula>
    </cfRule>
  </conditionalFormatting>
  <conditionalFormatting sqref="D15:D75">
    <cfRule type="expression" dxfId="1" priority="2">
      <formula>AND($D15&lt;&gt;"",MOD(ROW(),2)=0)</formula>
    </cfRule>
  </conditionalFormatting>
  <conditionalFormatting sqref="D15:D74">
    <cfRule type="expression" dxfId="0" priority="1">
      <formula>AND($B$12=$B15,$B$12&lt;&gt;"")</formula>
    </cfRule>
  </conditionalFormatting>
  <dataValidations count="5">
    <dataValidation type="list" allowBlank="1" showInputMessage="1" showErrorMessage="1" sqref="F5" xr:uid="{00000000-0002-0000-0100-000000000000}">
      <formula1>Member_Name</formula1>
    </dataValidation>
    <dataValidation type="list" allowBlank="1" showInputMessage="1" showErrorMessage="1" sqref="H3" xr:uid="{00000000-0002-0000-0100-000001000000}">
      <formula1>Proj_Name</formula1>
    </dataValidation>
    <dataValidation type="list" allowBlank="1" showInputMessage="1" showErrorMessage="1" sqref="J3" xr:uid="{00000000-0002-0000-0100-000002000000}">
      <formula1>Priority</formula1>
    </dataValidation>
    <dataValidation type="list" allowBlank="1" showInputMessage="1" showErrorMessage="1" sqref="H5" xr:uid="{00000000-0002-0000-0100-000003000000}">
      <formula1>Categories</formula1>
    </dataValidation>
    <dataValidation type="list" allowBlank="1" showInputMessage="1" showErrorMessage="1" sqref="J5" xr:uid="{00000000-0002-0000-0100-000004000000}">
      <formula1>Stages</formula1>
    </dataValidation>
  </dataValidations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 macro="[0]!Project_Refresh">
                <anchor moveWithCells="1">
                  <from>
                    <xdr:col>3</xdr:col>
                    <xdr:colOff>28575</xdr:colOff>
                    <xdr:row>11</xdr:row>
                    <xdr:rowOff>209550</xdr:rowOff>
                  </from>
                  <to>
                    <xdr:col>3</xdr:col>
                    <xdr:colOff>1257300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 Box 9">
              <controlPr defaultSize="0" autoFill="0" autoLine="0" autoPict="0" macro="[0]!Kanban_Refresh">
                <anchor moveWithCells="1">
                  <from>
                    <xdr:col>3</xdr:col>
                    <xdr:colOff>28575</xdr:colOff>
                    <xdr:row>11</xdr:row>
                    <xdr:rowOff>19050</xdr:rowOff>
                  </from>
                  <to>
                    <xdr:col>3</xdr:col>
                    <xdr:colOff>1257300</xdr:colOff>
                    <xdr:row>11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5000000}">
          <x14:formula1>
            <xm:f>Admin!$F$6:$F$10</xm:f>
          </x14:formula1>
          <xm:sqref>F11</xm:sqref>
        </x14:dataValidation>
        <x14:dataValidation type="list" allowBlank="1" showInputMessage="1" showErrorMessage="1" xr:uid="{00000000-0002-0000-0100-000006000000}">
          <x14:formula1>
            <xm:f>Admin!$D$6:$D$11</xm:f>
          </x14:formula1>
          <xm:sqref>H11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sks"/>
  <dimension ref="A1:AK72"/>
  <sheetViews>
    <sheetView workbookViewId="0">
      <selection activeCell="AA3" sqref="AA3:AK23"/>
    </sheetView>
  </sheetViews>
  <sheetFormatPr defaultRowHeight="15" x14ac:dyDescent="0.25"/>
  <cols>
    <col min="1" max="1" width="7.140625" bestFit="1" customWidth="1"/>
    <col min="2" max="2" width="12.5703125" customWidth="1"/>
    <col min="3" max="3" width="7.42578125" bestFit="1" customWidth="1"/>
    <col min="4" max="4" width="18.7109375" bestFit="1" customWidth="1"/>
    <col min="5" max="5" width="7.5703125" bestFit="1" customWidth="1"/>
    <col min="6" max="6" width="11.5703125" customWidth="1"/>
    <col min="7" max="7" width="14.42578125" bestFit="1" customWidth="1"/>
    <col min="8" max="8" width="8.85546875" bestFit="1" customWidth="1"/>
    <col min="9" max="9" width="12.5703125" bestFit="1" customWidth="1"/>
    <col min="10" max="10" width="12" bestFit="1" customWidth="1"/>
    <col min="11" max="11" width="26.28515625" customWidth="1"/>
    <col min="12" max="15" width="2.7109375" customWidth="1"/>
    <col min="16" max="17" width="9.28515625" customWidth="1"/>
    <col min="18" max="18" width="10.85546875" bestFit="1" customWidth="1"/>
    <col min="19" max="19" width="8.85546875" bestFit="1" customWidth="1"/>
    <col min="20" max="20" width="5.85546875" bestFit="1" customWidth="1"/>
    <col min="21" max="21" width="12" bestFit="1" customWidth="1"/>
    <col min="22" max="26" width="1.7109375" customWidth="1"/>
    <col min="27" max="27" width="7.140625" bestFit="1" customWidth="1"/>
    <col min="28" max="28" width="15" bestFit="1" customWidth="1"/>
    <col min="29" max="29" width="7.42578125" bestFit="1" customWidth="1"/>
    <col min="30" max="30" width="18.7109375" bestFit="1" customWidth="1"/>
    <col min="31" max="31" width="7.5703125" bestFit="1" customWidth="1"/>
    <col min="32" max="32" width="10.85546875" bestFit="1" customWidth="1"/>
    <col min="33" max="33" width="14.42578125" bestFit="1" customWidth="1"/>
    <col min="34" max="34" width="8.85546875" bestFit="1" customWidth="1"/>
    <col min="35" max="35" width="12.5703125" bestFit="1" customWidth="1"/>
    <col min="36" max="36" width="12" bestFit="1" customWidth="1"/>
    <col min="37" max="37" width="21.85546875" bestFit="1" customWidth="1"/>
  </cols>
  <sheetData>
    <row r="1" spans="1:37" x14ac:dyDescent="0.25">
      <c r="A1" s="40" t="s">
        <v>65</v>
      </c>
      <c r="B1" s="40" t="s">
        <v>67</v>
      </c>
      <c r="C1" s="40" t="s">
        <v>66</v>
      </c>
      <c r="D1" s="40" t="s">
        <v>68</v>
      </c>
      <c r="E1" s="40" t="s">
        <v>69</v>
      </c>
      <c r="F1" s="40" t="s">
        <v>70</v>
      </c>
      <c r="G1" s="40" t="s">
        <v>71</v>
      </c>
      <c r="H1" s="40" t="s">
        <v>72</v>
      </c>
      <c r="I1" s="40" t="s">
        <v>73</v>
      </c>
      <c r="J1" s="40" t="s">
        <v>74</v>
      </c>
      <c r="K1" s="40" t="s">
        <v>75</v>
      </c>
      <c r="P1" s="77" t="s">
        <v>107</v>
      </c>
      <c r="Q1" s="77"/>
      <c r="R1" s="77"/>
      <c r="S1" s="77"/>
      <c r="T1" s="77"/>
      <c r="U1" s="77"/>
      <c r="AA1" s="77" t="s">
        <v>112</v>
      </c>
      <c r="AB1" s="77"/>
      <c r="AC1" s="77"/>
      <c r="AD1" s="77"/>
      <c r="AE1" s="77"/>
      <c r="AF1" s="77"/>
      <c r="AG1" s="77"/>
      <c r="AH1" s="77"/>
      <c r="AI1" s="77"/>
      <c r="AJ1" s="77"/>
      <c r="AK1" s="77"/>
    </row>
    <row r="2" spans="1:37" x14ac:dyDescent="0.25">
      <c r="A2" s="76" t="s">
        <v>76</v>
      </c>
      <c r="B2" s="76"/>
      <c r="C2" s="76"/>
      <c r="D2" s="76"/>
      <c r="E2" s="76"/>
      <c r="F2" s="76"/>
      <c r="G2" s="76"/>
      <c r="H2" s="76"/>
      <c r="I2" s="76"/>
      <c r="J2" s="76"/>
      <c r="K2" s="76"/>
      <c r="P2" s="41" t="s">
        <v>26</v>
      </c>
      <c r="Q2" s="41" t="s">
        <v>0</v>
      </c>
      <c r="R2" s="41" t="s">
        <v>16</v>
      </c>
      <c r="S2" s="41" t="s">
        <v>12</v>
      </c>
      <c r="T2" s="41" t="s">
        <v>13</v>
      </c>
      <c r="U2" s="41" t="s">
        <v>78</v>
      </c>
      <c r="AA2" s="41" t="s">
        <v>25</v>
      </c>
      <c r="AB2" s="42" t="s">
        <v>10</v>
      </c>
      <c r="AC2" s="41" t="s">
        <v>26</v>
      </c>
      <c r="AD2" s="41" t="s">
        <v>27</v>
      </c>
      <c r="AE2" s="41" t="s">
        <v>0</v>
      </c>
      <c r="AF2" s="41" t="s">
        <v>16</v>
      </c>
      <c r="AG2" s="41" t="s">
        <v>17</v>
      </c>
      <c r="AH2" s="41" t="s">
        <v>12</v>
      </c>
      <c r="AI2" s="41" t="s">
        <v>13</v>
      </c>
      <c r="AJ2" s="41" t="s">
        <v>78</v>
      </c>
      <c r="AK2" s="41" t="s">
        <v>14</v>
      </c>
    </row>
    <row r="3" spans="1:37" x14ac:dyDescent="0.25">
      <c r="A3" s="41" t="s">
        <v>25</v>
      </c>
      <c r="B3" s="42" t="s">
        <v>10</v>
      </c>
      <c r="C3" s="41" t="s">
        <v>26</v>
      </c>
      <c r="D3" s="41" t="s">
        <v>27</v>
      </c>
      <c r="E3" s="41" t="s">
        <v>0</v>
      </c>
      <c r="F3" s="41" t="s">
        <v>16</v>
      </c>
      <c r="G3" s="41" t="s">
        <v>17</v>
      </c>
      <c r="H3" s="41" t="s">
        <v>12</v>
      </c>
      <c r="I3" s="41" t="s">
        <v>13</v>
      </c>
      <c r="J3" s="41" t="s">
        <v>78</v>
      </c>
      <c r="K3" s="41" t="s">
        <v>14</v>
      </c>
      <c r="P3" s="55"/>
      <c r="Q3" s="55" t="str">
        <f>IF('Kanban Board'!F11="[Show All]","",'Kanban Board'!F11)</f>
        <v/>
      </c>
      <c r="S3" s="50" t="str">
        <f>IF('Kanban Board'!H11="[All Categories]","",'Kanban Board'!H11)</f>
        <v/>
      </c>
      <c r="U3" s="50" t="str">
        <f>"&gt;="&amp;'Kanban Board'!J11</f>
        <v>&gt;=44409</v>
      </c>
      <c r="AA3" s="2">
        <v>1</v>
      </c>
      <c r="AB3" t="s">
        <v>79</v>
      </c>
      <c r="AC3" s="2">
        <v>1</v>
      </c>
      <c r="AD3" t="s">
        <v>59</v>
      </c>
      <c r="AE3" t="s">
        <v>1</v>
      </c>
      <c r="AF3" s="2">
        <v>1</v>
      </c>
      <c r="AG3" t="s">
        <v>36</v>
      </c>
      <c r="AH3" s="43" t="s">
        <v>22</v>
      </c>
      <c r="AI3" t="s">
        <v>7</v>
      </c>
      <c r="AJ3" s="47">
        <v>44409</v>
      </c>
      <c r="AK3" t="s">
        <v>93</v>
      </c>
    </row>
    <row r="4" spans="1:37" x14ac:dyDescent="0.25">
      <c r="A4" s="2">
        <v>1</v>
      </c>
      <c r="B4" t="s">
        <v>79</v>
      </c>
      <c r="C4" s="2">
        <v>1</v>
      </c>
      <c r="D4" t="s">
        <v>59</v>
      </c>
      <c r="E4" t="s">
        <v>1</v>
      </c>
      <c r="F4" s="2">
        <v>1</v>
      </c>
      <c r="G4" t="s">
        <v>36</v>
      </c>
      <c r="H4" s="43" t="s">
        <v>22</v>
      </c>
      <c r="I4" t="s">
        <v>7</v>
      </c>
      <c r="J4" s="47">
        <v>44409</v>
      </c>
      <c r="K4" t="s">
        <v>93</v>
      </c>
      <c r="AA4" s="2">
        <v>5</v>
      </c>
      <c r="AB4" t="s">
        <v>83</v>
      </c>
      <c r="AC4" s="2">
        <v>1</v>
      </c>
      <c r="AD4" t="s">
        <v>59</v>
      </c>
      <c r="AE4" t="s">
        <v>1</v>
      </c>
      <c r="AF4" s="2">
        <v>1</v>
      </c>
      <c r="AG4" t="s">
        <v>36</v>
      </c>
      <c r="AH4" s="44" t="s">
        <v>91</v>
      </c>
      <c r="AI4" t="s">
        <v>113</v>
      </c>
      <c r="AJ4" s="47">
        <v>44413</v>
      </c>
      <c r="AK4" t="s">
        <v>97</v>
      </c>
    </row>
    <row r="5" spans="1:37" x14ac:dyDescent="0.25">
      <c r="A5" s="2">
        <v>2</v>
      </c>
      <c r="B5" t="s">
        <v>80</v>
      </c>
      <c r="C5" s="2">
        <v>2</v>
      </c>
      <c r="D5" t="s">
        <v>60</v>
      </c>
      <c r="E5" t="s">
        <v>2</v>
      </c>
      <c r="F5" s="2">
        <v>2</v>
      </c>
      <c r="G5" t="s">
        <v>38</v>
      </c>
      <c r="H5" s="44" t="s">
        <v>22</v>
      </c>
      <c r="I5" t="s">
        <v>8</v>
      </c>
      <c r="J5" s="47">
        <v>44410</v>
      </c>
      <c r="K5" t="s">
        <v>94</v>
      </c>
      <c r="AA5" s="2">
        <v>9</v>
      </c>
      <c r="AB5" t="s">
        <v>81</v>
      </c>
      <c r="AC5" s="2">
        <v>1</v>
      </c>
      <c r="AD5" t="s">
        <v>59</v>
      </c>
      <c r="AE5" t="s">
        <v>1</v>
      </c>
      <c r="AF5" s="2">
        <v>1</v>
      </c>
      <c r="AG5" t="s">
        <v>36</v>
      </c>
      <c r="AH5" s="44" t="s">
        <v>23</v>
      </c>
      <c r="AI5" t="s">
        <v>8</v>
      </c>
      <c r="AJ5" s="47">
        <v>44417</v>
      </c>
      <c r="AK5" t="s">
        <v>95</v>
      </c>
    </row>
    <row r="6" spans="1:37" x14ac:dyDescent="0.25">
      <c r="A6" s="2">
        <v>3</v>
      </c>
      <c r="B6" t="s">
        <v>81</v>
      </c>
      <c r="C6" s="2">
        <v>3</v>
      </c>
      <c r="D6" t="s">
        <v>61</v>
      </c>
      <c r="E6" t="s">
        <v>3</v>
      </c>
      <c r="F6" s="2">
        <v>3</v>
      </c>
      <c r="G6" t="s">
        <v>40</v>
      </c>
      <c r="H6" s="44" t="s">
        <v>23</v>
      </c>
      <c r="I6" t="s">
        <v>77</v>
      </c>
      <c r="J6" s="47">
        <v>44411</v>
      </c>
      <c r="K6" t="s">
        <v>95</v>
      </c>
      <c r="AA6" s="2">
        <v>15</v>
      </c>
      <c r="AB6" t="s">
        <v>86</v>
      </c>
      <c r="AC6" s="2">
        <v>3</v>
      </c>
      <c r="AD6" t="s">
        <v>61</v>
      </c>
      <c r="AE6" t="s">
        <v>1</v>
      </c>
      <c r="AF6" s="2">
        <v>3</v>
      </c>
      <c r="AG6" t="s">
        <v>40</v>
      </c>
      <c r="AH6" s="44" t="s">
        <v>23</v>
      </c>
      <c r="AI6" t="s">
        <v>53</v>
      </c>
      <c r="AJ6" s="47">
        <v>44423</v>
      </c>
      <c r="AK6" t="s">
        <v>100</v>
      </c>
    </row>
    <row r="7" spans="1:37" x14ac:dyDescent="0.25">
      <c r="A7" s="2">
        <v>4</v>
      </c>
      <c r="B7" t="s">
        <v>82</v>
      </c>
      <c r="C7" s="2">
        <v>4</v>
      </c>
      <c r="D7" t="s">
        <v>63</v>
      </c>
      <c r="E7" t="s">
        <v>4</v>
      </c>
      <c r="F7" s="2">
        <v>4</v>
      </c>
      <c r="G7" t="s">
        <v>41</v>
      </c>
      <c r="H7" s="44" t="s">
        <v>90</v>
      </c>
      <c r="I7" t="s">
        <v>9</v>
      </c>
      <c r="J7" s="47">
        <v>44412</v>
      </c>
      <c r="K7" t="s">
        <v>96</v>
      </c>
      <c r="AA7" s="2">
        <v>19</v>
      </c>
      <c r="AB7" t="s">
        <v>88</v>
      </c>
      <c r="AC7" s="2">
        <v>3</v>
      </c>
      <c r="AD7" t="s">
        <v>61</v>
      </c>
      <c r="AE7" t="s">
        <v>1</v>
      </c>
      <c r="AF7" s="2">
        <v>3</v>
      </c>
      <c r="AG7" t="s">
        <v>40</v>
      </c>
      <c r="AH7" s="44" t="s">
        <v>21</v>
      </c>
      <c r="AI7" t="s">
        <v>77</v>
      </c>
      <c r="AJ7" s="47">
        <v>44427</v>
      </c>
      <c r="AK7" t="s">
        <v>102</v>
      </c>
    </row>
    <row r="8" spans="1:37" x14ac:dyDescent="0.25">
      <c r="A8" s="2">
        <v>5</v>
      </c>
      <c r="B8" t="s">
        <v>83</v>
      </c>
      <c r="C8" s="2">
        <v>1</v>
      </c>
      <c r="D8" t="s">
        <v>59</v>
      </c>
      <c r="E8" t="s">
        <v>1</v>
      </c>
      <c r="F8" s="2">
        <v>1</v>
      </c>
      <c r="G8" t="s">
        <v>36</v>
      </c>
      <c r="H8" s="44" t="s">
        <v>91</v>
      </c>
      <c r="I8" t="s">
        <v>113</v>
      </c>
      <c r="J8" s="47">
        <v>44413</v>
      </c>
      <c r="K8" t="s">
        <v>97</v>
      </c>
      <c r="AA8" s="2">
        <v>2</v>
      </c>
      <c r="AB8" t="s">
        <v>80</v>
      </c>
      <c r="AC8" s="2">
        <v>2</v>
      </c>
      <c r="AD8" t="s">
        <v>60</v>
      </c>
      <c r="AE8" t="s">
        <v>2</v>
      </c>
      <c r="AF8" s="2">
        <v>2</v>
      </c>
      <c r="AG8" t="s">
        <v>38</v>
      </c>
      <c r="AH8" s="44" t="s">
        <v>22</v>
      </c>
      <c r="AI8" t="s">
        <v>8</v>
      </c>
      <c r="AJ8" s="47">
        <v>44410</v>
      </c>
      <c r="AK8" t="s">
        <v>94</v>
      </c>
    </row>
    <row r="9" spans="1:37" x14ac:dyDescent="0.25">
      <c r="A9" s="2">
        <v>6</v>
      </c>
      <c r="B9" t="s">
        <v>84</v>
      </c>
      <c r="C9" s="2">
        <v>2</v>
      </c>
      <c r="D9" t="s">
        <v>60</v>
      </c>
      <c r="E9" t="s">
        <v>2</v>
      </c>
      <c r="F9" s="2">
        <v>2</v>
      </c>
      <c r="G9" t="s">
        <v>38</v>
      </c>
      <c r="H9" s="44" t="s">
        <v>92</v>
      </c>
      <c r="I9" t="s">
        <v>9</v>
      </c>
      <c r="J9" s="47">
        <v>44414</v>
      </c>
      <c r="K9" t="s">
        <v>98</v>
      </c>
      <c r="AA9" s="2">
        <v>6</v>
      </c>
      <c r="AB9" t="s">
        <v>84</v>
      </c>
      <c r="AC9" s="2">
        <v>2</v>
      </c>
      <c r="AD9" t="s">
        <v>60</v>
      </c>
      <c r="AE9" t="s">
        <v>2</v>
      </c>
      <c r="AF9" s="2">
        <v>2</v>
      </c>
      <c r="AG9" t="s">
        <v>38</v>
      </c>
      <c r="AH9" s="44" t="s">
        <v>92</v>
      </c>
      <c r="AI9" t="s">
        <v>9</v>
      </c>
      <c r="AJ9" s="47">
        <v>44414</v>
      </c>
      <c r="AK9" t="s">
        <v>98</v>
      </c>
    </row>
    <row r="10" spans="1:37" x14ac:dyDescent="0.25">
      <c r="A10" s="2">
        <v>7</v>
      </c>
      <c r="B10" t="s">
        <v>79</v>
      </c>
      <c r="C10" s="2">
        <v>3</v>
      </c>
      <c r="D10" t="s">
        <v>61</v>
      </c>
      <c r="E10" t="s">
        <v>3</v>
      </c>
      <c r="F10" s="2">
        <v>3</v>
      </c>
      <c r="G10" t="s">
        <v>40</v>
      </c>
      <c r="H10" s="44" t="s">
        <v>21</v>
      </c>
      <c r="I10" t="s">
        <v>7</v>
      </c>
      <c r="J10" s="47">
        <v>44415</v>
      </c>
      <c r="K10" t="s">
        <v>93</v>
      </c>
      <c r="AA10" s="2">
        <v>10</v>
      </c>
      <c r="AB10" t="s">
        <v>85</v>
      </c>
      <c r="AC10" s="2">
        <v>2</v>
      </c>
      <c r="AD10" t="s">
        <v>60</v>
      </c>
      <c r="AE10" t="s">
        <v>2</v>
      </c>
      <c r="AF10" s="2">
        <v>2</v>
      </c>
      <c r="AG10" t="s">
        <v>38</v>
      </c>
      <c r="AH10" s="44" t="s">
        <v>90</v>
      </c>
      <c r="AI10" t="s">
        <v>53</v>
      </c>
      <c r="AJ10" s="47">
        <v>44418</v>
      </c>
      <c r="AK10" t="s">
        <v>99</v>
      </c>
    </row>
    <row r="11" spans="1:37" x14ac:dyDescent="0.25">
      <c r="A11" s="2">
        <v>8</v>
      </c>
      <c r="B11" t="s">
        <v>80</v>
      </c>
      <c r="C11" s="2">
        <v>4</v>
      </c>
      <c r="D11" t="s">
        <v>63</v>
      </c>
      <c r="E11" t="s">
        <v>4</v>
      </c>
      <c r="F11" s="2">
        <v>4</v>
      </c>
      <c r="G11" t="s">
        <v>41</v>
      </c>
      <c r="H11" s="44" t="s">
        <v>22</v>
      </c>
      <c r="I11" t="s">
        <v>9</v>
      </c>
      <c r="J11" s="47">
        <v>44416</v>
      </c>
      <c r="K11" t="s">
        <v>94</v>
      </c>
      <c r="AA11" s="2">
        <v>16</v>
      </c>
      <c r="AB11" t="s">
        <v>87</v>
      </c>
      <c r="AC11" s="2">
        <v>4</v>
      </c>
      <c r="AD11" t="s">
        <v>63</v>
      </c>
      <c r="AE11" t="s">
        <v>2</v>
      </c>
      <c r="AF11" s="2">
        <v>4</v>
      </c>
      <c r="AG11" t="s">
        <v>41</v>
      </c>
      <c r="AH11" s="44" t="s">
        <v>90</v>
      </c>
      <c r="AI11" t="s">
        <v>53</v>
      </c>
      <c r="AJ11" s="47">
        <v>44424</v>
      </c>
      <c r="AK11" t="s">
        <v>101</v>
      </c>
    </row>
    <row r="12" spans="1:37" x14ac:dyDescent="0.25">
      <c r="A12" s="2">
        <v>9</v>
      </c>
      <c r="B12" t="s">
        <v>81</v>
      </c>
      <c r="C12" s="2">
        <v>1</v>
      </c>
      <c r="D12" t="s">
        <v>59</v>
      </c>
      <c r="E12" t="s">
        <v>1</v>
      </c>
      <c r="F12" s="2">
        <v>1</v>
      </c>
      <c r="G12" t="s">
        <v>36</v>
      </c>
      <c r="H12" s="44" t="s">
        <v>23</v>
      </c>
      <c r="I12" t="s">
        <v>8</v>
      </c>
      <c r="J12" s="47">
        <v>44417</v>
      </c>
      <c r="K12" t="s">
        <v>95</v>
      </c>
      <c r="AA12" s="2">
        <v>20</v>
      </c>
      <c r="AB12" t="s">
        <v>89</v>
      </c>
      <c r="AC12" s="2">
        <v>4</v>
      </c>
      <c r="AD12" t="s">
        <v>63</v>
      </c>
      <c r="AE12" t="s">
        <v>2</v>
      </c>
      <c r="AF12" s="2">
        <v>4</v>
      </c>
      <c r="AG12" t="s">
        <v>41</v>
      </c>
      <c r="AH12" s="44" t="s">
        <v>22</v>
      </c>
      <c r="AI12" t="s">
        <v>7</v>
      </c>
      <c r="AJ12" s="47">
        <v>44428</v>
      </c>
      <c r="AK12" t="s">
        <v>103</v>
      </c>
    </row>
    <row r="13" spans="1:37" x14ac:dyDescent="0.25">
      <c r="A13" s="2">
        <v>10</v>
      </c>
      <c r="B13" t="s">
        <v>85</v>
      </c>
      <c r="C13" s="2">
        <v>2</v>
      </c>
      <c r="D13" t="s">
        <v>60</v>
      </c>
      <c r="E13" t="s">
        <v>2</v>
      </c>
      <c r="F13" s="2">
        <v>2</v>
      </c>
      <c r="G13" t="s">
        <v>38</v>
      </c>
      <c r="H13" s="44" t="s">
        <v>90</v>
      </c>
      <c r="I13" t="s">
        <v>53</v>
      </c>
      <c r="J13" s="47">
        <v>44418</v>
      </c>
      <c r="K13" t="s">
        <v>99</v>
      </c>
      <c r="AA13" s="2">
        <v>21</v>
      </c>
      <c r="AB13" t="s">
        <v>105</v>
      </c>
      <c r="AC13" s="2">
        <v>4</v>
      </c>
      <c r="AD13" t="s">
        <v>60</v>
      </c>
      <c r="AE13" t="s">
        <v>2</v>
      </c>
      <c r="AF13" s="2">
        <v>3</v>
      </c>
      <c r="AG13" t="s">
        <v>40</v>
      </c>
      <c r="AH13" s="44" t="s">
        <v>22</v>
      </c>
      <c r="AI13" t="s">
        <v>7</v>
      </c>
      <c r="AJ13" s="47">
        <v>44422</v>
      </c>
      <c r="AK13" t="s">
        <v>106</v>
      </c>
    </row>
    <row r="14" spans="1:37" x14ac:dyDescent="0.25">
      <c r="A14" s="2">
        <v>11</v>
      </c>
      <c r="B14" t="s">
        <v>83</v>
      </c>
      <c r="C14" s="2">
        <v>3</v>
      </c>
      <c r="D14" t="s">
        <v>61</v>
      </c>
      <c r="E14" t="s">
        <v>3</v>
      </c>
      <c r="F14" s="2">
        <v>3</v>
      </c>
      <c r="G14" t="s">
        <v>40</v>
      </c>
      <c r="H14" s="44" t="s">
        <v>91</v>
      </c>
      <c r="I14" t="s">
        <v>113</v>
      </c>
      <c r="J14" s="47">
        <v>44419</v>
      </c>
      <c r="K14" t="s">
        <v>97</v>
      </c>
      <c r="AA14" s="2">
        <v>3</v>
      </c>
      <c r="AB14" t="s">
        <v>81</v>
      </c>
      <c r="AC14" s="2">
        <v>3</v>
      </c>
      <c r="AD14" t="s">
        <v>61</v>
      </c>
      <c r="AE14" t="s">
        <v>3</v>
      </c>
      <c r="AF14" s="2">
        <v>3</v>
      </c>
      <c r="AG14" t="s">
        <v>40</v>
      </c>
      <c r="AH14" s="44" t="s">
        <v>23</v>
      </c>
      <c r="AI14" t="s">
        <v>77</v>
      </c>
      <c r="AJ14" s="47">
        <v>44411</v>
      </c>
      <c r="AK14" t="s">
        <v>95</v>
      </c>
    </row>
    <row r="15" spans="1:37" x14ac:dyDescent="0.25">
      <c r="A15" s="2">
        <v>12</v>
      </c>
      <c r="B15" t="s">
        <v>84</v>
      </c>
      <c r="C15" s="2">
        <v>4</v>
      </c>
      <c r="D15" t="s">
        <v>63</v>
      </c>
      <c r="E15" t="s">
        <v>4</v>
      </c>
      <c r="F15" s="2">
        <v>4</v>
      </c>
      <c r="G15" t="s">
        <v>41</v>
      </c>
      <c r="H15" s="44" t="s">
        <v>92</v>
      </c>
      <c r="I15" t="s">
        <v>53</v>
      </c>
      <c r="J15" s="47">
        <v>44420</v>
      </c>
      <c r="K15" t="s">
        <v>98</v>
      </c>
      <c r="AA15" s="2">
        <v>7</v>
      </c>
      <c r="AB15" t="s">
        <v>79</v>
      </c>
      <c r="AC15" s="2">
        <v>3</v>
      </c>
      <c r="AD15" t="s">
        <v>61</v>
      </c>
      <c r="AE15" t="s">
        <v>3</v>
      </c>
      <c r="AF15" s="2">
        <v>3</v>
      </c>
      <c r="AG15" t="s">
        <v>40</v>
      </c>
      <c r="AH15" s="44" t="s">
        <v>21</v>
      </c>
      <c r="AI15" t="s">
        <v>7</v>
      </c>
      <c r="AJ15" s="47">
        <v>44415</v>
      </c>
      <c r="AK15" t="s">
        <v>93</v>
      </c>
    </row>
    <row r="16" spans="1:37" x14ac:dyDescent="0.25">
      <c r="A16" s="2">
        <v>13</v>
      </c>
      <c r="B16" t="s">
        <v>79</v>
      </c>
      <c r="C16" s="2">
        <v>1</v>
      </c>
      <c r="D16" t="s">
        <v>59</v>
      </c>
      <c r="E16" t="s">
        <v>3</v>
      </c>
      <c r="F16" s="2">
        <v>1</v>
      </c>
      <c r="G16" t="s">
        <v>36</v>
      </c>
      <c r="H16" s="44" t="s">
        <v>21</v>
      </c>
      <c r="I16" t="s">
        <v>8</v>
      </c>
      <c r="J16" s="47">
        <v>44421</v>
      </c>
      <c r="K16" t="s">
        <v>93</v>
      </c>
      <c r="AA16" s="2">
        <v>11</v>
      </c>
      <c r="AB16" t="s">
        <v>83</v>
      </c>
      <c r="AC16" s="2">
        <v>3</v>
      </c>
      <c r="AD16" t="s">
        <v>61</v>
      </c>
      <c r="AE16" t="s">
        <v>3</v>
      </c>
      <c r="AF16" s="2">
        <v>3</v>
      </c>
      <c r="AG16" t="s">
        <v>40</v>
      </c>
      <c r="AH16" s="44" t="s">
        <v>91</v>
      </c>
      <c r="AI16" t="s">
        <v>113</v>
      </c>
      <c r="AJ16" s="47">
        <v>44419</v>
      </c>
      <c r="AK16" t="s">
        <v>97</v>
      </c>
    </row>
    <row r="17" spans="1:37" x14ac:dyDescent="0.25">
      <c r="A17" s="2">
        <v>14</v>
      </c>
      <c r="B17" t="s">
        <v>80</v>
      </c>
      <c r="C17" s="2">
        <v>2</v>
      </c>
      <c r="D17" t="s">
        <v>60</v>
      </c>
      <c r="E17" t="s">
        <v>4</v>
      </c>
      <c r="F17" s="2">
        <v>2</v>
      </c>
      <c r="G17" t="s">
        <v>38</v>
      </c>
      <c r="H17" s="44" t="s">
        <v>22</v>
      </c>
      <c r="I17" t="s">
        <v>7</v>
      </c>
      <c r="J17" s="47">
        <v>44422</v>
      </c>
      <c r="K17" t="s">
        <v>94</v>
      </c>
      <c r="AA17" s="2">
        <v>13</v>
      </c>
      <c r="AB17" t="s">
        <v>79</v>
      </c>
      <c r="AC17" s="2">
        <v>1</v>
      </c>
      <c r="AD17" t="s">
        <v>59</v>
      </c>
      <c r="AE17" t="s">
        <v>3</v>
      </c>
      <c r="AF17" s="2">
        <v>1</v>
      </c>
      <c r="AG17" t="s">
        <v>36</v>
      </c>
      <c r="AH17" s="44" t="s">
        <v>21</v>
      </c>
      <c r="AI17" t="s">
        <v>8</v>
      </c>
      <c r="AJ17" s="47">
        <v>44421</v>
      </c>
      <c r="AK17" t="s">
        <v>93</v>
      </c>
    </row>
    <row r="18" spans="1:37" x14ac:dyDescent="0.25">
      <c r="A18" s="2">
        <v>15</v>
      </c>
      <c r="B18" t="s">
        <v>86</v>
      </c>
      <c r="C18" s="2">
        <v>3</v>
      </c>
      <c r="D18" t="s">
        <v>61</v>
      </c>
      <c r="E18" t="s">
        <v>1</v>
      </c>
      <c r="F18" s="2">
        <v>3</v>
      </c>
      <c r="G18" t="s">
        <v>40</v>
      </c>
      <c r="H18" s="44" t="s">
        <v>23</v>
      </c>
      <c r="I18" t="s">
        <v>53</v>
      </c>
      <c r="J18" s="47">
        <v>44423</v>
      </c>
      <c r="K18" t="s">
        <v>100</v>
      </c>
      <c r="AA18" s="2">
        <v>17</v>
      </c>
      <c r="AB18" t="s">
        <v>83</v>
      </c>
      <c r="AC18" s="2">
        <v>1</v>
      </c>
      <c r="AD18" t="s">
        <v>59</v>
      </c>
      <c r="AE18" t="s">
        <v>3</v>
      </c>
      <c r="AF18" s="2">
        <v>1</v>
      </c>
      <c r="AG18" t="s">
        <v>36</v>
      </c>
      <c r="AH18" s="44" t="s">
        <v>91</v>
      </c>
      <c r="AI18" t="s">
        <v>113</v>
      </c>
      <c r="AJ18" s="47">
        <v>44425</v>
      </c>
      <c r="AK18" t="s">
        <v>97</v>
      </c>
    </row>
    <row r="19" spans="1:37" x14ac:dyDescent="0.25">
      <c r="A19" s="2">
        <v>16</v>
      </c>
      <c r="B19" t="s">
        <v>87</v>
      </c>
      <c r="C19" s="2">
        <v>4</v>
      </c>
      <c r="D19" t="s">
        <v>63</v>
      </c>
      <c r="E19" t="s">
        <v>2</v>
      </c>
      <c r="F19" s="2">
        <v>4</v>
      </c>
      <c r="G19" t="s">
        <v>41</v>
      </c>
      <c r="H19" s="44" t="s">
        <v>90</v>
      </c>
      <c r="I19" t="s">
        <v>53</v>
      </c>
      <c r="J19" s="47">
        <v>44424</v>
      </c>
      <c r="K19" t="s">
        <v>101</v>
      </c>
      <c r="AA19" s="2">
        <v>4</v>
      </c>
      <c r="AB19" t="s">
        <v>82</v>
      </c>
      <c r="AC19" s="2">
        <v>4</v>
      </c>
      <c r="AD19" t="s">
        <v>63</v>
      </c>
      <c r="AE19" t="s">
        <v>4</v>
      </c>
      <c r="AF19" s="2">
        <v>4</v>
      </c>
      <c r="AG19" t="s">
        <v>41</v>
      </c>
      <c r="AH19" s="44" t="s">
        <v>90</v>
      </c>
      <c r="AI19" t="s">
        <v>9</v>
      </c>
      <c r="AJ19" s="47">
        <v>44412</v>
      </c>
      <c r="AK19" t="s">
        <v>96</v>
      </c>
    </row>
    <row r="20" spans="1:37" x14ac:dyDescent="0.25">
      <c r="A20" s="2">
        <v>17</v>
      </c>
      <c r="B20" t="s">
        <v>83</v>
      </c>
      <c r="C20" s="2">
        <v>1</v>
      </c>
      <c r="D20" t="s">
        <v>59</v>
      </c>
      <c r="E20" t="s">
        <v>3</v>
      </c>
      <c r="F20" s="2">
        <v>1</v>
      </c>
      <c r="G20" t="s">
        <v>36</v>
      </c>
      <c r="H20" s="44" t="s">
        <v>91</v>
      </c>
      <c r="I20" t="s">
        <v>113</v>
      </c>
      <c r="J20" s="47">
        <v>44425</v>
      </c>
      <c r="K20" t="s">
        <v>97</v>
      </c>
      <c r="AA20" s="2">
        <v>8</v>
      </c>
      <c r="AB20" t="s">
        <v>80</v>
      </c>
      <c r="AC20" s="2">
        <v>4</v>
      </c>
      <c r="AD20" t="s">
        <v>63</v>
      </c>
      <c r="AE20" t="s">
        <v>4</v>
      </c>
      <c r="AF20" s="2">
        <v>4</v>
      </c>
      <c r="AG20" t="s">
        <v>41</v>
      </c>
      <c r="AH20" s="44" t="s">
        <v>22</v>
      </c>
      <c r="AI20" t="s">
        <v>9</v>
      </c>
      <c r="AJ20" s="47">
        <v>44416</v>
      </c>
      <c r="AK20" t="s">
        <v>94</v>
      </c>
    </row>
    <row r="21" spans="1:37" x14ac:dyDescent="0.25">
      <c r="A21" s="2">
        <v>18</v>
      </c>
      <c r="B21" t="s">
        <v>84</v>
      </c>
      <c r="C21" s="2">
        <v>2</v>
      </c>
      <c r="D21" t="s">
        <v>60</v>
      </c>
      <c r="E21" t="s">
        <v>4</v>
      </c>
      <c r="F21" s="2">
        <v>2</v>
      </c>
      <c r="G21" t="s">
        <v>38</v>
      </c>
      <c r="H21" s="44" t="s">
        <v>92</v>
      </c>
      <c r="I21" t="s">
        <v>113</v>
      </c>
      <c r="J21" s="47">
        <v>44426</v>
      </c>
      <c r="K21" t="s">
        <v>98</v>
      </c>
      <c r="AA21" s="2">
        <v>12</v>
      </c>
      <c r="AB21" t="s">
        <v>84</v>
      </c>
      <c r="AC21" s="2">
        <v>4</v>
      </c>
      <c r="AD21" t="s">
        <v>63</v>
      </c>
      <c r="AE21" t="s">
        <v>4</v>
      </c>
      <c r="AF21" s="2">
        <v>4</v>
      </c>
      <c r="AG21" t="s">
        <v>41</v>
      </c>
      <c r="AH21" s="44" t="s">
        <v>92</v>
      </c>
      <c r="AI21" t="s">
        <v>53</v>
      </c>
      <c r="AJ21" s="47">
        <v>44420</v>
      </c>
      <c r="AK21" t="s">
        <v>98</v>
      </c>
    </row>
    <row r="22" spans="1:37" x14ac:dyDescent="0.25">
      <c r="A22" s="2">
        <v>19</v>
      </c>
      <c r="B22" t="s">
        <v>88</v>
      </c>
      <c r="C22" s="2">
        <v>3</v>
      </c>
      <c r="D22" t="s">
        <v>61</v>
      </c>
      <c r="E22" t="s">
        <v>1</v>
      </c>
      <c r="F22" s="2">
        <v>3</v>
      </c>
      <c r="G22" t="s">
        <v>40</v>
      </c>
      <c r="H22" s="44" t="s">
        <v>21</v>
      </c>
      <c r="I22" t="s">
        <v>77</v>
      </c>
      <c r="J22" s="47">
        <v>44427</v>
      </c>
      <c r="K22" t="s">
        <v>102</v>
      </c>
      <c r="AA22" s="2">
        <v>14</v>
      </c>
      <c r="AB22" t="s">
        <v>80</v>
      </c>
      <c r="AC22" s="2">
        <v>2</v>
      </c>
      <c r="AD22" t="s">
        <v>60</v>
      </c>
      <c r="AE22" t="s">
        <v>4</v>
      </c>
      <c r="AF22" s="2">
        <v>2</v>
      </c>
      <c r="AG22" t="s">
        <v>38</v>
      </c>
      <c r="AH22" s="44" t="s">
        <v>22</v>
      </c>
      <c r="AI22" t="s">
        <v>7</v>
      </c>
      <c r="AJ22" s="47">
        <v>44422</v>
      </c>
      <c r="AK22" t="s">
        <v>94</v>
      </c>
    </row>
    <row r="23" spans="1:37" x14ac:dyDescent="0.25">
      <c r="A23" s="2">
        <v>20</v>
      </c>
      <c r="B23" t="s">
        <v>89</v>
      </c>
      <c r="C23" s="2">
        <v>4</v>
      </c>
      <c r="D23" t="s">
        <v>63</v>
      </c>
      <c r="E23" t="s">
        <v>2</v>
      </c>
      <c r="F23" s="2">
        <v>4</v>
      </c>
      <c r="G23" t="s">
        <v>41</v>
      </c>
      <c r="H23" s="44" t="s">
        <v>22</v>
      </c>
      <c r="I23" t="s">
        <v>7</v>
      </c>
      <c r="J23" s="47">
        <v>44428</v>
      </c>
      <c r="K23" t="s">
        <v>103</v>
      </c>
      <c r="AA23" s="2">
        <v>18</v>
      </c>
      <c r="AB23" t="s">
        <v>84</v>
      </c>
      <c r="AC23" s="2">
        <v>2</v>
      </c>
      <c r="AD23" t="s">
        <v>60</v>
      </c>
      <c r="AE23" t="s">
        <v>4</v>
      </c>
      <c r="AF23" s="2">
        <v>2</v>
      </c>
      <c r="AG23" t="s">
        <v>38</v>
      </c>
      <c r="AH23" s="44" t="s">
        <v>92</v>
      </c>
      <c r="AI23" t="s">
        <v>113</v>
      </c>
      <c r="AJ23" s="47">
        <v>44426</v>
      </c>
      <c r="AK23" t="s">
        <v>98</v>
      </c>
    </row>
    <row r="24" spans="1:37" x14ac:dyDescent="0.25">
      <c r="A24" s="2">
        <v>21</v>
      </c>
      <c r="B24" t="s">
        <v>105</v>
      </c>
      <c r="C24" s="2">
        <v>4</v>
      </c>
      <c r="D24" t="s">
        <v>60</v>
      </c>
      <c r="E24" t="s">
        <v>2</v>
      </c>
      <c r="F24" s="2">
        <v>3</v>
      </c>
      <c r="G24" t="s">
        <v>40</v>
      </c>
      <c r="H24" s="44" t="s">
        <v>22</v>
      </c>
      <c r="I24" t="s">
        <v>7</v>
      </c>
      <c r="J24" s="47">
        <v>44422</v>
      </c>
      <c r="K24" t="s">
        <v>106</v>
      </c>
      <c r="AA24" s="2"/>
      <c r="AC24" s="2"/>
      <c r="AF24" s="2"/>
      <c r="AH24" s="44"/>
      <c r="AJ24" s="47"/>
    </row>
    <row r="25" spans="1:37" x14ac:dyDescent="0.25">
      <c r="A25" s="2">
        <v>22</v>
      </c>
      <c r="B25" t="s">
        <v>119</v>
      </c>
      <c r="C25" s="2">
        <v>1</v>
      </c>
      <c r="D25" t="s">
        <v>59</v>
      </c>
      <c r="E25" t="s">
        <v>1</v>
      </c>
      <c r="F25" s="2">
        <v>1</v>
      </c>
      <c r="G25" t="s">
        <v>36</v>
      </c>
      <c r="H25" s="44" t="s">
        <v>22</v>
      </c>
      <c r="I25" t="s">
        <v>77</v>
      </c>
      <c r="J25" s="47"/>
      <c r="K25" t="s">
        <v>120</v>
      </c>
    </row>
    <row r="26" spans="1:37" x14ac:dyDescent="0.25">
      <c r="A26" s="2">
        <v>23</v>
      </c>
      <c r="B26" t="s">
        <v>121</v>
      </c>
      <c r="C26" s="2">
        <v>2</v>
      </c>
      <c r="D26" s="2" t="s">
        <v>60</v>
      </c>
      <c r="E26" s="2" t="s">
        <v>1</v>
      </c>
      <c r="F26" s="2">
        <v>4</v>
      </c>
      <c r="G26" t="s">
        <v>41</v>
      </c>
      <c r="H26" s="44" t="s">
        <v>23</v>
      </c>
      <c r="I26" t="s">
        <v>7</v>
      </c>
      <c r="J26" s="47"/>
    </row>
    <row r="27" spans="1:37" x14ac:dyDescent="0.25">
      <c r="A27" s="2"/>
      <c r="C27" s="2"/>
      <c r="F27" s="2"/>
      <c r="J27" s="47"/>
    </row>
    <row r="28" spans="1:37" x14ac:dyDescent="0.25">
      <c r="A28" s="2"/>
      <c r="F28" s="2"/>
      <c r="J28" s="47"/>
    </row>
    <row r="29" spans="1:37" x14ac:dyDescent="0.25">
      <c r="A29" s="2"/>
      <c r="F29" s="2"/>
      <c r="J29" s="47"/>
    </row>
    <row r="30" spans="1:37" x14ac:dyDescent="0.25">
      <c r="A30" s="2"/>
      <c r="F30" s="2"/>
      <c r="J30" s="47"/>
    </row>
    <row r="31" spans="1:37" x14ac:dyDescent="0.25">
      <c r="A31" s="2"/>
      <c r="F31" s="2"/>
      <c r="J31" s="47"/>
    </row>
    <row r="32" spans="1:37" x14ac:dyDescent="0.25">
      <c r="A32" s="2"/>
      <c r="F32" s="2"/>
      <c r="J32" s="47"/>
    </row>
    <row r="33" spans="1:10" x14ac:dyDescent="0.25">
      <c r="A33" s="2"/>
      <c r="F33" s="2"/>
      <c r="J33" s="47"/>
    </row>
    <row r="34" spans="1:10" x14ac:dyDescent="0.25">
      <c r="A34" s="2"/>
      <c r="F34" s="2"/>
      <c r="J34" s="47"/>
    </row>
    <row r="35" spans="1:10" x14ac:dyDescent="0.25">
      <c r="A35" s="2"/>
      <c r="F35" s="2"/>
      <c r="J35" s="47"/>
    </row>
    <row r="36" spans="1:10" x14ac:dyDescent="0.25">
      <c r="A36" s="2"/>
      <c r="F36" s="2"/>
      <c r="J36" s="47"/>
    </row>
    <row r="37" spans="1:10" x14ac:dyDescent="0.25">
      <c r="A37" s="2"/>
      <c r="F37" s="2"/>
      <c r="J37" s="47"/>
    </row>
    <row r="38" spans="1:10" x14ac:dyDescent="0.25">
      <c r="F38" s="2"/>
      <c r="J38" s="47"/>
    </row>
    <row r="39" spans="1:10" x14ac:dyDescent="0.25">
      <c r="F39" s="2"/>
      <c r="J39" s="47"/>
    </row>
    <row r="40" spans="1:10" x14ac:dyDescent="0.25">
      <c r="F40" s="2"/>
      <c r="J40" s="47"/>
    </row>
    <row r="41" spans="1:10" x14ac:dyDescent="0.25">
      <c r="F41" s="2"/>
      <c r="J41" s="47"/>
    </row>
    <row r="42" spans="1:10" x14ac:dyDescent="0.25">
      <c r="F42" s="2"/>
      <c r="J42" s="47"/>
    </row>
    <row r="43" spans="1:10" x14ac:dyDescent="0.25">
      <c r="F43" s="2"/>
      <c r="J43" s="47"/>
    </row>
    <row r="44" spans="1:10" x14ac:dyDescent="0.25">
      <c r="F44" s="2"/>
      <c r="J44" s="47"/>
    </row>
    <row r="45" spans="1:10" x14ac:dyDescent="0.25">
      <c r="F45" s="2"/>
      <c r="J45" s="47"/>
    </row>
    <row r="46" spans="1:10" x14ac:dyDescent="0.25">
      <c r="F46" s="2"/>
      <c r="J46" s="47"/>
    </row>
    <row r="47" spans="1:10" x14ac:dyDescent="0.25">
      <c r="F47" s="2"/>
      <c r="J47" s="47"/>
    </row>
    <row r="48" spans="1:10" x14ac:dyDescent="0.25">
      <c r="F48" s="2"/>
      <c r="J48" s="47"/>
    </row>
    <row r="49" spans="6:10" x14ac:dyDescent="0.25">
      <c r="F49" s="2"/>
      <c r="J49" s="47"/>
    </row>
    <row r="50" spans="6:10" x14ac:dyDescent="0.25">
      <c r="F50" s="2"/>
      <c r="J50" s="47"/>
    </row>
    <row r="51" spans="6:10" x14ac:dyDescent="0.25">
      <c r="F51" s="2"/>
      <c r="J51" s="47"/>
    </row>
    <row r="52" spans="6:10" x14ac:dyDescent="0.25">
      <c r="F52" s="2"/>
      <c r="J52" s="47"/>
    </row>
    <row r="53" spans="6:10" x14ac:dyDescent="0.25">
      <c r="F53" s="2"/>
      <c r="J53" s="47"/>
    </row>
    <row r="54" spans="6:10" x14ac:dyDescent="0.25">
      <c r="F54" s="2"/>
      <c r="J54" s="47"/>
    </row>
    <row r="55" spans="6:10" x14ac:dyDescent="0.25">
      <c r="F55" s="2"/>
      <c r="J55" s="47"/>
    </row>
    <row r="56" spans="6:10" x14ac:dyDescent="0.25">
      <c r="F56" s="2"/>
      <c r="J56" s="47"/>
    </row>
    <row r="57" spans="6:10" x14ac:dyDescent="0.25">
      <c r="F57" s="2"/>
      <c r="J57" s="47"/>
    </row>
    <row r="58" spans="6:10" x14ac:dyDescent="0.25">
      <c r="F58" s="2"/>
      <c r="J58" s="47"/>
    </row>
    <row r="59" spans="6:10" x14ac:dyDescent="0.25">
      <c r="F59" s="2"/>
      <c r="J59" s="47"/>
    </row>
    <row r="60" spans="6:10" x14ac:dyDescent="0.25">
      <c r="F60" s="2"/>
      <c r="J60" s="47"/>
    </row>
    <row r="61" spans="6:10" x14ac:dyDescent="0.25">
      <c r="F61" s="2"/>
      <c r="J61" s="47"/>
    </row>
    <row r="62" spans="6:10" x14ac:dyDescent="0.25">
      <c r="F62" s="2"/>
      <c r="J62" s="47"/>
    </row>
    <row r="63" spans="6:10" x14ac:dyDescent="0.25">
      <c r="F63" s="2"/>
      <c r="J63" s="47"/>
    </row>
    <row r="64" spans="6:10" x14ac:dyDescent="0.25">
      <c r="F64" s="2"/>
      <c r="J64" s="47"/>
    </row>
    <row r="65" spans="6:10" x14ac:dyDescent="0.25">
      <c r="F65" s="2"/>
      <c r="J65" s="47"/>
    </row>
    <row r="66" spans="6:10" x14ac:dyDescent="0.25">
      <c r="F66" s="2"/>
      <c r="J66" s="47"/>
    </row>
    <row r="67" spans="6:10" x14ac:dyDescent="0.25">
      <c r="F67" s="2"/>
      <c r="J67" s="47"/>
    </row>
    <row r="68" spans="6:10" x14ac:dyDescent="0.25">
      <c r="F68" s="2"/>
      <c r="J68" s="47"/>
    </row>
    <row r="69" spans="6:10" x14ac:dyDescent="0.25">
      <c r="F69" s="2"/>
      <c r="J69" s="47"/>
    </row>
    <row r="70" spans="6:10" x14ac:dyDescent="0.25">
      <c r="F70" s="2"/>
      <c r="J70" s="47"/>
    </row>
    <row r="71" spans="6:10" x14ac:dyDescent="0.25">
      <c r="F71" s="2"/>
      <c r="J71" s="47"/>
    </row>
    <row r="72" spans="6:10" x14ac:dyDescent="0.25">
      <c r="F72" s="2"/>
    </row>
  </sheetData>
  <sortState xmlns:xlrd2="http://schemas.microsoft.com/office/spreadsheetml/2017/richdata2" ref="AA3:AK23">
    <sortCondition ref="AE3" customList="Urgent,High,Normal,Low"/>
  </sortState>
  <mergeCells count="3">
    <mergeCell ref="A2:K2"/>
    <mergeCell ref="P1:U1"/>
    <mergeCell ref="AA1:AK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rojects"/>
  <dimension ref="A1:J32"/>
  <sheetViews>
    <sheetView workbookViewId="0">
      <selection activeCell="C4" sqref="C4"/>
    </sheetView>
  </sheetViews>
  <sheetFormatPr defaultRowHeight="15" x14ac:dyDescent="0.25"/>
  <cols>
    <col min="2" max="2" width="18.7109375" bestFit="1" customWidth="1"/>
    <col min="9" max="9" width="7.42578125" bestFit="1" customWidth="1"/>
    <col min="10" max="10" width="31" customWidth="1"/>
  </cols>
  <sheetData>
    <row r="1" spans="1:10" x14ac:dyDescent="0.25">
      <c r="A1" s="78" t="s">
        <v>29</v>
      </c>
      <c r="B1" s="79"/>
      <c r="C1" s="80"/>
      <c r="G1" s="58" t="s">
        <v>48</v>
      </c>
      <c r="I1" s="81" t="s">
        <v>49</v>
      </c>
      <c r="J1" s="81"/>
    </row>
    <row r="2" spans="1:10" x14ac:dyDescent="0.25">
      <c r="A2" s="39" t="s">
        <v>26</v>
      </c>
      <c r="B2" s="39" t="s">
        <v>62</v>
      </c>
      <c r="C2" s="39" t="s">
        <v>24</v>
      </c>
      <c r="G2" s="39" t="s">
        <v>24</v>
      </c>
      <c r="I2" s="39" t="s">
        <v>26</v>
      </c>
      <c r="J2" s="39" t="s">
        <v>62</v>
      </c>
    </row>
    <row r="3" spans="1:10" x14ac:dyDescent="0.25">
      <c r="A3" s="2">
        <v>1</v>
      </c>
      <c r="B3" t="s">
        <v>59</v>
      </c>
      <c r="C3" t="s">
        <v>30</v>
      </c>
      <c r="G3" s="59" t="str">
        <f>IF('Kanban Board'!B13=TRUE,"","Open")</f>
        <v>Open</v>
      </c>
      <c r="I3" s="2">
        <v>3</v>
      </c>
      <c r="J3" t="s">
        <v>61</v>
      </c>
    </row>
    <row r="4" spans="1:10" x14ac:dyDescent="0.25">
      <c r="A4" s="2">
        <v>2</v>
      </c>
      <c r="B4" t="s">
        <v>60</v>
      </c>
      <c r="C4" t="s">
        <v>31</v>
      </c>
      <c r="I4" s="2">
        <v>1</v>
      </c>
      <c r="J4" t="s">
        <v>59</v>
      </c>
    </row>
    <row r="5" spans="1:10" x14ac:dyDescent="0.25">
      <c r="A5" s="2">
        <v>3</v>
      </c>
      <c r="B5" t="s">
        <v>61</v>
      </c>
      <c r="C5" t="s">
        <v>30</v>
      </c>
      <c r="I5" s="2">
        <v>4</v>
      </c>
      <c r="J5" t="s">
        <v>63</v>
      </c>
    </row>
    <row r="6" spans="1:10" x14ac:dyDescent="0.25">
      <c r="A6" s="2">
        <v>4</v>
      </c>
      <c r="B6" t="s">
        <v>63</v>
      </c>
      <c r="C6" t="s">
        <v>30</v>
      </c>
      <c r="I6" s="2"/>
    </row>
    <row r="7" spans="1:10" x14ac:dyDescent="0.25">
      <c r="A7" s="2"/>
    </row>
    <row r="8" spans="1:10" x14ac:dyDescent="0.25">
      <c r="A8" s="2"/>
    </row>
    <row r="9" spans="1:10" x14ac:dyDescent="0.25">
      <c r="A9" s="2"/>
    </row>
    <row r="10" spans="1:10" x14ac:dyDescent="0.25">
      <c r="A10" s="2"/>
    </row>
    <row r="11" spans="1:10" x14ac:dyDescent="0.25">
      <c r="A11" s="2"/>
    </row>
    <row r="12" spans="1:10" x14ac:dyDescent="0.25">
      <c r="A12" s="2"/>
    </row>
    <row r="13" spans="1:10" x14ac:dyDescent="0.25">
      <c r="A13" s="2"/>
    </row>
    <row r="14" spans="1:10" x14ac:dyDescent="0.25">
      <c r="A14" s="2"/>
    </row>
    <row r="15" spans="1:10" x14ac:dyDescent="0.25">
      <c r="A15" s="2"/>
    </row>
    <row r="16" spans="1:10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</sheetData>
  <sortState xmlns:xlrd2="http://schemas.microsoft.com/office/spreadsheetml/2017/richdata2" ref="I3:J5">
    <sortCondition ref="J3"/>
  </sortState>
  <mergeCells count="2">
    <mergeCell ref="A1:C1"/>
    <mergeCell ref="I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embers"/>
  <dimension ref="A1:O7"/>
  <sheetViews>
    <sheetView workbookViewId="0">
      <selection activeCell="D3" sqref="D3:D7"/>
    </sheetView>
  </sheetViews>
  <sheetFormatPr defaultRowHeight="15" x14ac:dyDescent="0.25"/>
  <cols>
    <col min="1" max="1" width="11" bestFit="1" customWidth="1"/>
    <col min="2" max="2" width="14.42578125" bestFit="1" customWidth="1"/>
    <col min="3" max="3" width="18.42578125" bestFit="1" customWidth="1"/>
    <col min="4" max="4" width="13.140625" bestFit="1" customWidth="1"/>
    <col min="5" max="5" width="9.5703125" customWidth="1"/>
    <col min="6" max="9" width="4.42578125" customWidth="1"/>
    <col min="12" max="12" width="11" bestFit="1" customWidth="1"/>
    <col min="13" max="13" width="14.5703125" bestFit="1" customWidth="1"/>
    <col min="14" max="14" width="18.42578125" bestFit="1" customWidth="1"/>
    <col min="15" max="15" width="13.140625" bestFit="1" customWidth="1"/>
  </cols>
  <sheetData>
    <row r="1" spans="1:15" x14ac:dyDescent="0.25">
      <c r="A1" s="82" t="s">
        <v>15</v>
      </c>
      <c r="B1" s="82"/>
      <c r="C1" s="82"/>
      <c r="D1" s="82"/>
      <c r="E1" s="82"/>
      <c r="J1" s="26" t="s">
        <v>48</v>
      </c>
      <c r="L1" s="83" t="s">
        <v>49</v>
      </c>
      <c r="M1" s="84"/>
      <c r="N1" s="84"/>
      <c r="O1" s="84"/>
    </row>
    <row r="2" spans="1:15" x14ac:dyDescent="0.25">
      <c r="A2" s="12" t="s">
        <v>16</v>
      </c>
      <c r="B2" s="12" t="s">
        <v>17</v>
      </c>
      <c r="C2" s="12" t="s">
        <v>18</v>
      </c>
      <c r="D2" s="12" t="s">
        <v>19</v>
      </c>
      <c r="E2" s="12" t="s">
        <v>24</v>
      </c>
      <c r="J2" s="12" t="s">
        <v>24</v>
      </c>
      <c r="L2" s="12" t="s">
        <v>16</v>
      </c>
      <c r="M2" s="12" t="s">
        <v>17</v>
      </c>
      <c r="N2" s="12" t="s">
        <v>18</v>
      </c>
      <c r="O2" s="12" t="s">
        <v>19</v>
      </c>
    </row>
    <row r="3" spans="1:15" x14ac:dyDescent="0.25">
      <c r="A3" s="2">
        <v>1</v>
      </c>
      <c r="B3" t="s">
        <v>36</v>
      </c>
      <c r="C3" s="24" t="s">
        <v>37</v>
      </c>
      <c r="E3" t="s">
        <v>44</v>
      </c>
      <c r="J3" s="27" t="s">
        <v>44</v>
      </c>
      <c r="L3" s="2">
        <v>1</v>
      </c>
      <c r="M3" t="s">
        <v>36</v>
      </c>
      <c r="N3" s="24" t="s">
        <v>37</v>
      </c>
    </row>
    <row r="4" spans="1:15" x14ac:dyDescent="0.25">
      <c r="A4" s="2">
        <v>2</v>
      </c>
      <c r="B4" t="s">
        <v>38</v>
      </c>
      <c r="C4" s="24" t="s">
        <v>39</v>
      </c>
      <c r="E4" t="s">
        <v>44</v>
      </c>
      <c r="L4" s="2">
        <v>2</v>
      </c>
      <c r="M4" t="s">
        <v>38</v>
      </c>
      <c r="N4" s="24" t="s">
        <v>39</v>
      </c>
    </row>
    <row r="5" spans="1:15" x14ac:dyDescent="0.25">
      <c r="A5" s="2">
        <v>3</v>
      </c>
      <c r="B5" t="s">
        <v>40</v>
      </c>
      <c r="C5" s="24" t="s">
        <v>43</v>
      </c>
      <c r="E5" t="s">
        <v>44</v>
      </c>
      <c r="L5" s="2">
        <v>3</v>
      </c>
      <c r="M5" t="s">
        <v>40</v>
      </c>
      <c r="N5" s="24" t="s">
        <v>43</v>
      </c>
    </row>
    <row r="6" spans="1:15" x14ac:dyDescent="0.25">
      <c r="A6" s="2">
        <v>4</v>
      </c>
      <c r="B6" t="s">
        <v>41</v>
      </c>
      <c r="C6" s="24" t="s">
        <v>42</v>
      </c>
      <c r="E6" t="s">
        <v>44</v>
      </c>
      <c r="L6" s="2">
        <v>4</v>
      </c>
      <c r="M6" t="s">
        <v>41</v>
      </c>
      <c r="N6" s="24" t="s">
        <v>42</v>
      </c>
    </row>
    <row r="7" spans="1:15" x14ac:dyDescent="0.25">
      <c r="A7" s="25">
        <v>5</v>
      </c>
      <c r="B7" t="s">
        <v>45</v>
      </c>
      <c r="C7" s="24" t="s">
        <v>46</v>
      </c>
      <c r="E7" t="s">
        <v>47</v>
      </c>
    </row>
  </sheetData>
  <mergeCells count="2">
    <mergeCell ref="A1:E1"/>
    <mergeCell ref="L1:O1"/>
  </mergeCells>
  <hyperlinks>
    <hyperlink ref="C3" r:id="rId1" xr:uid="{00000000-0004-0000-0400-000000000000}"/>
    <hyperlink ref="C4" r:id="rId2" xr:uid="{00000000-0004-0000-0400-000001000000}"/>
    <hyperlink ref="C6" r:id="rId3" xr:uid="{00000000-0004-0000-0400-000002000000}"/>
    <hyperlink ref="C5" r:id="rId4" xr:uid="{00000000-0004-0000-0400-000003000000}"/>
    <hyperlink ref="C7" r:id="rId5" xr:uid="{00000000-0004-0000-0400-000004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Admin</vt:lpstr>
      <vt:lpstr>Kanban Board</vt:lpstr>
      <vt:lpstr>Task Cards</vt:lpstr>
      <vt:lpstr>Projects</vt:lpstr>
      <vt:lpstr>Team Members</vt:lpstr>
      <vt:lpstr>Projects!Criteria</vt:lpstr>
      <vt:lpstr>'Task Cards'!Criteria</vt:lpstr>
      <vt:lpstr>'Team Members'!Criteria</vt:lpstr>
      <vt:lpstr>Projects!Extract</vt:lpstr>
      <vt:lpstr>'Task Cards'!Extract</vt:lpstr>
      <vt:lpstr>'Team Members'!Extract</vt:lpstr>
      <vt:lpstr>Priority</vt:lpstr>
      <vt:lpstr>Stages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Hp</cp:lastModifiedBy>
  <dcterms:created xsi:type="dcterms:W3CDTF">2021-08-11T08:25:59Z</dcterms:created>
  <dcterms:modified xsi:type="dcterms:W3CDTF">2021-09-15T17:26:44Z</dcterms:modified>
</cp:coreProperties>
</file>